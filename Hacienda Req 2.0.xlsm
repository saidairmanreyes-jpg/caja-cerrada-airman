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stemas\Desktop\ORDENES DE PRODUCCION\"/>
    </mc:Choice>
  </mc:AlternateContent>
  <xr:revisionPtr revIDLastSave="0" documentId="13_ncr:1_{2AA6121C-39EE-41E6-BA72-7E6F73496492}" xr6:coauthVersionLast="47" xr6:coauthVersionMax="47" xr10:uidLastSave="{00000000-0000-0000-0000-000000000000}"/>
  <bookViews>
    <workbookView xWindow="28680" yWindow="-120" windowWidth="29040" windowHeight="15720" firstSheet="1" activeTab="1" xr2:uid="{ED3E5A28-5A6B-4977-9284-6993D84E0222}"/>
  </bookViews>
  <sheets>
    <sheet name="ReporteInventario" sheetId="1" state="hidden" r:id="rId1"/>
    <sheet name="REGISTRO" sheetId="2" r:id="rId2"/>
    <sheet name="REPORTE DE PRODUCCION" sheetId="4" r:id="rId3"/>
    <sheet name="BASE DATOS" sheetId="3" r:id="rId4"/>
  </sheets>
  <functionGroups builtInGroupCount="19"/>
  <definedNames>
    <definedName name="_xlnm._FilterDatabase" localSheetId="0" hidden="1">ReporteInventario!$A$1:$C$108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4" l="1"/>
  <c r="F10" i="4"/>
  <c r="E9" i="4"/>
  <c r="F9" i="4"/>
  <c r="E8" i="4"/>
  <c r="F8" i="4"/>
  <c r="E7" i="4"/>
  <c r="F7" i="4"/>
  <c r="E6" i="4"/>
  <c r="F6" i="4"/>
  <c r="E5" i="4"/>
  <c r="F5" i="4"/>
  <c r="E4" i="4"/>
  <c r="F4" i="4"/>
  <c r="F3" i="4"/>
  <c r="E3" i="4"/>
  <c r="D15" i="2"/>
  <c r="D16" i="2"/>
  <c r="D17" i="2"/>
  <c r="D18" i="2"/>
  <c r="D19" i="2"/>
  <c r="D14" i="2"/>
  <c r="B15" i="2"/>
  <c r="B16" i="2"/>
  <c r="B17" i="2"/>
  <c r="B18" i="2"/>
  <c r="B19" i="2"/>
  <c r="B14" i="2"/>
  <c r="D9" i="2"/>
  <c r="D10" i="2"/>
  <c r="D8" i="2"/>
  <c r="B9" i="2"/>
  <c r="B10" i="2"/>
  <c r="B8" i="2"/>
  <c r="E2" i="2" l="1"/>
</calcChain>
</file>

<file path=xl/sharedStrings.xml><?xml version="1.0" encoding="utf-8"?>
<sst xmlns="http://schemas.openxmlformats.org/spreadsheetml/2006/main" count="1345" uniqueCount="358">
  <si>
    <t>Código</t>
  </si>
  <si>
    <t>Nombre del Producto</t>
  </si>
  <si>
    <t>HACIENDA</t>
  </si>
  <si>
    <t>AVBOTON18AZM</t>
  </si>
  <si>
    <t>BOTON AIRMAN GRABADO AZUL MARINO #18</t>
  </si>
  <si>
    <t>AVBOTONMETAL</t>
  </si>
  <si>
    <t>BOTON AIRMAN GRABADO METALICO PARA PANTALÃ“N DE MEZCLILLA</t>
  </si>
  <si>
    <t>AVBOTON18NGR</t>
  </si>
  <si>
    <t>BOTON AIRMAN GRABADO NEGRO #18</t>
  </si>
  <si>
    <t>AVBOTON18BCO</t>
  </si>
  <si>
    <t>BOTON AIRMAN GRABADO BLANCO #18</t>
  </si>
  <si>
    <t>AVBOTON22BCO</t>
  </si>
  <si>
    <t>BOTON AIRMAN GRABADO BLANCO #22</t>
  </si>
  <si>
    <t>AVBOTON22AZM</t>
  </si>
  <si>
    <t>BOTON AIRMAN GRABADO AZUL MARINO #22</t>
  </si>
  <si>
    <t>AVBOTON18AZR</t>
  </si>
  <si>
    <t>BOTON AIRMAN GRABADO AZUL REY #18</t>
  </si>
  <si>
    <t>AVBOTON22NGR</t>
  </si>
  <si>
    <t>BOTON AIRMAN GRABADO NEGRO #22</t>
  </si>
  <si>
    <t>AVBOTON18RJO</t>
  </si>
  <si>
    <t>BOTON AIRMAN GRABADO ROJO #18</t>
  </si>
  <si>
    <t>AVCINTRYAZXAZ</t>
  </si>
  <si>
    <t>CINTA RAYA DIAGONAL MARINO/CIELO</t>
  </si>
  <si>
    <t>AVCINTRYNGXGR</t>
  </si>
  <si>
    <t>CINTA RAYA DIAGONAL NEGRO/GRIS</t>
  </si>
  <si>
    <t>AVCINTREFAMR</t>
  </si>
  <si>
    <t>CINTA REFLEJANTE AMARILLO/GRIS DE 2 PULG</t>
  </si>
  <si>
    <t>AVCINREFGR1P</t>
  </si>
  <si>
    <t>CINTA REFLEJANTE GRIS 1 PULG</t>
  </si>
  <si>
    <t>AVCINREFGR2P</t>
  </si>
  <si>
    <t>CINTA REFLEJANTE GRIS 2 PULG</t>
  </si>
  <si>
    <t>AVCINTREFNRJ</t>
  </si>
  <si>
    <t>CINTA REFLEJANTE NARANJA/GRIS 2 PULG</t>
  </si>
  <si>
    <t>AVETIQCOLGAZL</t>
  </si>
  <si>
    <t>ETIQUETA COLGANTE AIRMAN AZUL</t>
  </si>
  <si>
    <t>AVETIQCOLGNRJ</t>
  </si>
  <si>
    <t>ETIQUETA COLGANTE AIRMAN NARANJA</t>
  </si>
  <si>
    <t>AVETIQCRWXCH</t>
  </si>
  <si>
    <t>ETIQUETA AIRMAN TRANSFER CREW TALLA EXTRA CHICA</t>
  </si>
  <si>
    <t>AVETIQCRWCH</t>
  </si>
  <si>
    <t>ETIQUETA AIRMAN TRANSFER CREW TALLA CHICA</t>
  </si>
  <si>
    <t>AVETIQCRWMD</t>
  </si>
  <si>
    <t>ETIQUETA AIRMAN TRANSFER CREW TALLA MEDIANA</t>
  </si>
  <si>
    <t>AVETIQCRWGR</t>
  </si>
  <si>
    <t>ETIQUETA AIRMAN TRANSFER CREW TALLA GRANDE</t>
  </si>
  <si>
    <t>AVETIQCRWXG</t>
  </si>
  <si>
    <t>ETIQUETA AIRMAN TRANSFER CREW TALLA EXTRA GRANDE</t>
  </si>
  <si>
    <t>AVETIQCRW2X</t>
  </si>
  <si>
    <t>ETIQUETA AIRMAN TRANSFER CREW TALLA DOS EXTRA GRANDE</t>
  </si>
  <si>
    <t>AVETIQCRW3X</t>
  </si>
  <si>
    <t>ETIQUETA AIRMAN TRANSFER CREW TALLA TRES EXTRA GRANDE</t>
  </si>
  <si>
    <t>AVETIQCRW4X</t>
  </si>
  <si>
    <t>ETIQUETA AIRMAN TRANSFER CREW TALLA CUATRO EXTRA GRANDE</t>
  </si>
  <si>
    <t>AVETIQCRW5X</t>
  </si>
  <si>
    <t>ETIQUETA AIRMAN TRANSFER CREW TALLA CINCO EXTRA GRANDE</t>
  </si>
  <si>
    <t>AVETIQTSFDRY</t>
  </si>
  <si>
    <t>ETIQUETA TRANSFER ALAS DRY TEC</t>
  </si>
  <si>
    <t>AVETIQTRNTXCH</t>
  </si>
  <si>
    <t>ETIQUETA AIRMAN TRANSFER SOLO TALLA EXTRA CHICA</t>
  </si>
  <si>
    <t>AVETIQTRNTCH</t>
  </si>
  <si>
    <t>ETIQUETA AIRMAN TRANSFER SOLO TALLA CHICA</t>
  </si>
  <si>
    <t>AVETIQTRNTMD</t>
  </si>
  <si>
    <t>ETIQUETA AIRMAN TRANSFER SOLO TALLA MEDIANA</t>
  </si>
  <si>
    <t>AVETIQTRNTGR</t>
  </si>
  <si>
    <t>ETIQUETA AIRMAN TRANSFER SOLO TALLA GRANDE</t>
  </si>
  <si>
    <t>AVETIQTRNTXG</t>
  </si>
  <si>
    <t>ETIQUETA AIRMAN TRANSFER SOLO TALLA EXTRA GRANDE</t>
  </si>
  <si>
    <t>AVETIQTRNT2X</t>
  </si>
  <si>
    <t>ETIQUETA AIRMAN TRANSFER SOLO TALLA DOS EXTRA GRANDE</t>
  </si>
  <si>
    <t>AVETIQTRNT3X</t>
  </si>
  <si>
    <t>ETIQUETA AIRMAN TRANSFER SOLO TALLA TRES EXTRA GRANDE</t>
  </si>
  <si>
    <t>AVETIQTRNT4X</t>
  </si>
  <si>
    <t>ETIQUETA AIRMAN TRANSFER SOLO TALLA CUATRO EXTRA GRANDE</t>
  </si>
  <si>
    <t>AVETIQTRNT5X</t>
  </si>
  <si>
    <t>ETIQUETA AIRMAN TRANSFER SOLO TALLA CINCO EXTRA GRANDE</t>
  </si>
  <si>
    <t>AVCAJACRTNXX</t>
  </si>
  <si>
    <t>CAJA DE CARTÃ“N AIRMAN</t>
  </si>
  <si>
    <t>AVETQCMP100P</t>
  </si>
  <si>
    <t>ETIQUETA AIRMAN DE COMPOSICION 100% POL</t>
  </si>
  <si>
    <t>AVETQCMP5545P</t>
  </si>
  <si>
    <t>ETIQUETA AIRMAN DE COMPOSICION 55% ALG - 45% POL</t>
  </si>
  <si>
    <t>AVBOTON18GRS</t>
  </si>
  <si>
    <t>BOTON AIRMAN GRABADO GRIS #18</t>
  </si>
  <si>
    <t>AVCINTREFGRT</t>
  </si>
  <si>
    <t>CINTA REFLEJANTE GRIS 2 PULG TERMOFUSIONABLE</t>
  </si>
  <si>
    <t>AVCNTONDAZBC</t>
  </si>
  <si>
    <t>CINTA ONDAS MARINO/BLANCO</t>
  </si>
  <si>
    <t>AVCRFJT20NE0</t>
  </si>
  <si>
    <t>CIERRE REFLEJANTE NEGRO DE 20 CM PARA SUDADERA FLEECE</t>
  </si>
  <si>
    <t>AVCRFJT20AZ4</t>
  </si>
  <si>
    <t>CIERRE REFLEJANTE AZUL MARINO DE 20 CM PARA SUDADERA FLEECE</t>
  </si>
  <si>
    <t>AVETCMP50A50P</t>
  </si>
  <si>
    <t>ETIQUETA AIRMAN DE COMPOSICION 50%ALG -50%POL PARA SUDADERA</t>
  </si>
  <si>
    <t>TLRAMFONE0</t>
  </si>
  <si>
    <t>TELA AIRMAN RAMSEY 55% ALGODÃ“N 45% POLIESTER NEGRO</t>
  </si>
  <si>
    <t>TLRAMFOBO0</t>
  </si>
  <si>
    <t>TELA AIRMAN RAMSEY 55% ALGODÃ“N 45% POLIESTER BLANCO</t>
  </si>
  <si>
    <t>TLRAMFOAZ4</t>
  </si>
  <si>
    <t>TELA AIRMAN RAMSEY 55% ALGODÃ“N 45% POLIESTER AZUL MARINO</t>
  </si>
  <si>
    <t>TLRAMFOAZ1</t>
  </si>
  <si>
    <t>TELA AIRMAN RAMSEY 55% ALGODÃ“N 45% POLIESTER AZUL FRANCIA</t>
  </si>
  <si>
    <t>TLRAMFOGR1</t>
  </si>
  <si>
    <t>TELA AIRMAN RAMSEY 55% ALGODÃ“N 45% POLIESTER GRIS JASPE</t>
  </si>
  <si>
    <t>TLRAMFORO0</t>
  </si>
  <si>
    <t>TELA AIRMAN RAMSEY 55% ALGODÃ“N 45% POLIESTER ROJO</t>
  </si>
  <si>
    <t>TLRAMFOAZ6</t>
  </si>
  <si>
    <t>TELA AIRMAN RAMSEY 55% ALGODÃ“N 45% POLIESTER AZUL REY</t>
  </si>
  <si>
    <t>TLWPICRGR1</t>
  </si>
  <si>
    <t>TELA AIRMAN WARP PIQUE 100% POLIESTER GRIS</t>
  </si>
  <si>
    <t>TLWPICRNE0</t>
  </si>
  <si>
    <t>TELA AIRMAN WARP PIQUE 100% POLIESTER NEGRO</t>
  </si>
  <si>
    <t>TLWPICRAZ6</t>
  </si>
  <si>
    <t>TELA AIRMAN WARP PIQUE 100% POLIESTER AZUL REY</t>
  </si>
  <si>
    <t>TLWPICRBO0</t>
  </si>
  <si>
    <t>TELA AIRMAN WARP PIQUE 100% POLIESTER BLANCO</t>
  </si>
  <si>
    <t>TLWPICRAZ4</t>
  </si>
  <si>
    <t>TELA AIRMAN WARP PIQUE 100% POLIESTER AZUL MARINO</t>
  </si>
  <si>
    <t>TLWPICRRO0</t>
  </si>
  <si>
    <t>TELA AIRMAN WARP PIQUE 100% POLIESTER ROJO</t>
  </si>
  <si>
    <t>TLBLSDRGR1</t>
  </si>
  <si>
    <t>TELA AIRMAN BLISSED 100% POLIESTER GRIS JASPE</t>
  </si>
  <si>
    <t>TLBLSDRNE0</t>
  </si>
  <si>
    <t>TELA AIRMAN BLISSED 100% POLIESTER NEGRO</t>
  </si>
  <si>
    <t>TLBLSDRAZ0</t>
  </si>
  <si>
    <t>TELA AIRMAN BLISSED 100% POLIESTER AZUL CIELO</t>
  </si>
  <si>
    <t>TLBLSDRBO0</t>
  </si>
  <si>
    <t>TELA AIRMAN BLISSED 100% POLIESTER BLANCO</t>
  </si>
  <si>
    <t>TLBLSDRAZ4</t>
  </si>
  <si>
    <t>TELA AIRMAN BLISSED 100% POLIESTER AZUL MARINO</t>
  </si>
  <si>
    <t>TLBLSDRRO0</t>
  </si>
  <si>
    <t>TELA AIRMAN BLISSED 100% POLIESTER ROJO</t>
  </si>
  <si>
    <t>TLFELPAAZ4</t>
  </si>
  <si>
    <t>TELA AIRMAN FELPA 50% ALGODÃ“N 50% POLIESTER AZUL MARINO</t>
  </si>
  <si>
    <t>TLFELPAGR2</t>
  </si>
  <si>
    <t>TELA AIRMAN FELPA 50% ALGODÃ“N 50% POLIESTER GRIS OXFORD</t>
  </si>
  <si>
    <t>TLFELPANE0</t>
  </si>
  <si>
    <t>TELA AIRMAN FELPA 50% ALGODÃ“N 50% POLIESTER NEGRO</t>
  </si>
  <si>
    <t>TLPOFLEAZ4</t>
  </si>
  <si>
    <t>TELA AIRMAN MICROPOLAR 100% POLIESTER AZUL MARINO</t>
  </si>
  <si>
    <t>TLPOFLEGR2</t>
  </si>
  <si>
    <t>TELA AIRMAN MICROPOLAR 100% POLIESTER GRIS</t>
  </si>
  <si>
    <t>TLPOFLENE0</t>
  </si>
  <si>
    <t>TELA AIRMAN MICROPOLAR 100% POLIESTER NEGRO</t>
  </si>
  <si>
    <t>TLPURAMBO0</t>
  </si>
  <si>
    <t>TELA PUÃ‘O AIRMAN RAMSEY 55% ALGODÃ“N 45% POLIESTER BLANCO</t>
  </si>
  <si>
    <t>TLRAMFOTT0</t>
  </si>
  <si>
    <t>TELA AIRMAN RAMSEY 55% ALGODÃ“N 45% POLIESTER TINTO</t>
  </si>
  <si>
    <t>TLRAMFONA0</t>
  </si>
  <si>
    <t>TELA AIRMAN RAMSEY 55% ALGODÃ“N 45% POLIESTER NARANJA</t>
  </si>
  <si>
    <t>TLRAMFOVE0</t>
  </si>
  <si>
    <t>TELA AIRMAN RAMSEY 55% ALGODÃ“N 45% POLIESTER VERDE INGREDION</t>
  </si>
  <si>
    <t>TLRAMFOAM0</t>
  </si>
  <si>
    <t>TELA AIRMAN RAMSEY 55% ALGODÃ“N 45% POLIESTER AMARILLO</t>
  </si>
  <si>
    <t>TLCPRAMNE0</t>
  </si>
  <si>
    <t>TELA CUELLO AIRMAN RAMSEY 55% ALGODÃ“N 45% POLIESTER NEGRO</t>
  </si>
  <si>
    <t>TLCPRAMBO0</t>
  </si>
  <si>
    <t>TELA CUELLO AIRMAN RAMSEY 55% ALGODÃ“N 45% POLIESTER BLANCO</t>
  </si>
  <si>
    <t>TLCPRAMAZ4</t>
  </si>
  <si>
    <t>TELA CUELLO AIRMAN RAMSEY 55% ALGODÃ“N 45% POLIESTER AZUL MARINO</t>
  </si>
  <si>
    <t>TLCPRAMAZ1</t>
  </si>
  <si>
    <t>TELA CUELLO AIRMAN RAMSEY 55% ALGODÃ“N 45% POLIESTER AZUL FRANCIA</t>
  </si>
  <si>
    <t>TLCPRAMGR1</t>
  </si>
  <si>
    <t>TELA CUELLO AIRMAN RAMSEY 55% ALGODÃ“N 45% POLIESTER GRIS JASPE</t>
  </si>
  <si>
    <t>TLCPRAMRO0</t>
  </si>
  <si>
    <t>TELA CUELLO AIRMAN RAMSEY 55% ALGODÃ“N 45% POLIESTER ROJO</t>
  </si>
  <si>
    <t>TLCPRAMAZ6</t>
  </si>
  <si>
    <t>TELA CUELLO AIRMAN RAMSEY 55% ALGODÃ“N 45% POLIESTER AZUL REY</t>
  </si>
  <si>
    <t>TLCPRAMGR2</t>
  </si>
  <si>
    <t>TELA CUELLO AIRMAN RAMSEY 55% ALGODÃ“N 45% POLIESTER GRIS OXFORD</t>
  </si>
  <si>
    <t>TLCPRAMTT0</t>
  </si>
  <si>
    <t>TELA CUELLO AIRMAN RAMSEY 55% ALGODÃ“N 45% POLIESTER TINTO</t>
  </si>
  <si>
    <t>TLCPRAMNA0</t>
  </si>
  <si>
    <t>TELA CUELLO AIRMAN RAMSEY 55% ALGODÃ“N 45% POLIESTER NARANJA</t>
  </si>
  <si>
    <t>TLCPRAMVE0</t>
  </si>
  <si>
    <t>TELA CUELLO AIRMAN RAMSEY 55% ALGODÃ“N 45% POLIESTER VERDE INGREDION</t>
  </si>
  <si>
    <t>TLCPBLSGR1</t>
  </si>
  <si>
    <t>TELA CUELLO AIRMAN BLISSED 100% POLIESTER GRIS JASPE</t>
  </si>
  <si>
    <t>TLCPBLSNE0</t>
  </si>
  <si>
    <t>TELA CUELLO AIRMAN BLISSED 100% POLIESTER NEGRO</t>
  </si>
  <si>
    <t>TLCPBLSAZ0</t>
  </si>
  <si>
    <t>TELA CUELLO AIRMAN BLISSED 100% POLIESTER AZUL CIELO</t>
  </si>
  <si>
    <t>TLCPBLSBO0</t>
  </si>
  <si>
    <t>TELA CUELLO AIRMAN BLISSED 100% POLIESTER BLANCO</t>
  </si>
  <si>
    <t>TLCPBLSAZ4</t>
  </si>
  <si>
    <t>TELA CUELLO AIRMAN BLISSED 100% POLIESTER AZUL MARINO</t>
  </si>
  <si>
    <t>TLCPBLSAZ6</t>
  </si>
  <si>
    <t>TELA CUELLO AIRMAN BLISSED 100% POLIESTER AZUL REY</t>
  </si>
  <si>
    <t>TLCPBLSRO0</t>
  </si>
  <si>
    <t>TELA CUELLO AIRMAN BLISSED 100% POLIESTER ROJO</t>
  </si>
  <si>
    <t>TLJAYAINBO0</t>
  </si>
  <si>
    <t>TELA AIRMAN JAYA 50% POLIESTER 50% ALGODÃ“N BLANCO</t>
  </si>
  <si>
    <t>TLPURAMAZ4</t>
  </si>
  <si>
    <t>TELA PUÃ‘O AIRMAN RAMSEY 55% ALGODÃ“N 45% POLIESTER AZUL MARINO</t>
  </si>
  <si>
    <t>TLPURAMAZ1</t>
  </si>
  <si>
    <t>TELA PUÃ‘O AIRMAN RAMSEY 55% ALGODÃ“N 45% POLIESTER AZUL FRANCIA</t>
  </si>
  <si>
    <t>TLPURAMGR1</t>
  </si>
  <si>
    <t>TELA PUÃ‘O AIRMAN RAMSEY 55% ALGODÃ“N 45% POLIESTER GRIS JASPE</t>
  </si>
  <si>
    <t>TLPURAMRO0</t>
  </si>
  <si>
    <t>TELA PUÃ‘O AIRMAN RAMSEY 55% ALGODÃ“N 45% POLIESTER ROJO</t>
  </si>
  <si>
    <t>TLPURAMAZ6</t>
  </si>
  <si>
    <t>TELA PUÃ‘O AIRMAN RAMSEY 55% ALGODÃ“N 45% POLIESTER AZUL REY</t>
  </si>
  <si>
    <t>TLPURAMGR2</t>
  </si>
  <si>
    <t>TELA PUÃ‘O AIRMAN RAMSEY 55% ALGODÃ“N 45% POLIESTER GRIS OXFORD</t>
  </si>
  <si>
    <t>TLPURAMTT0</t>
  </si>
  <si>
    <t>TELA PUÃ‘O AIRMAN RAMSEY 55% ALGODÃ“N 45% POLIESTER TINTO</t>
  </si>
  <si>
    <t>TLPURAMNA0</t>
  </si>
  <si>
    <t>TELA PUÃ‘O AIRMAN RAMSEY 55% ALGODÃ“N 45% POLIESTER NARANJA</t>
  </si>
  <si>
    <t>TLPURAMVE0</t>
  </si>
  <si>
    <t>TELA PUÃ‘O AIRMAN RAMSEY 55% ALGODÃ“N 45% POLIESTER VERDE INGREDION</t>
  </si>
  <si>
    <t>TLPURAMAM0</t>
  </si>
  <si>
    <t>TELA PUÃ‘O AIRMAN RAMSEY 55% ALGODÃ“N 45% POLIESTER AMARILLO</t>
  </si>
  <si>
    <t>TLPURAMNE0</t>
  </si>
  <si>
    <t>TELA PUÃ‘O AIRMAN RAMSEY 55% ALGODÃ“N 45% POLIESTER NEGRO</t>
  </si>
  <si>
    <t>TLCJAYABO0</t>
  </si>
  <si>
    <t>TELA CUELLO AIRMAN JAYA 50% ALGODÃ“N 50% POLIESTER BLANCO</t>
  </si>
  <si>
    <t>TLPJAYABO0</t>
  </si>
  <si>
    <t>TELA PUÃ‘O AIRMAN JAYA 50% ALGODÃ“N 50% POLIESTER BLANCO</t>
  </si>
  <si>
    <t>Unidad de Medida</t>
  </si>
  <si>
    <t>Pzas</t>
  </si>
  <si>
    <t>Kgrs</t>
  </si>
  <si>
    <t>Categoria</t>
  </si>
  <si>
    <t>Avio</t>
  </si>
  <si>
    <t>Tela</t>
  </si>
  <si>
    <t>SISTEMA DE REGISTRO PARA ORDENES DE COMPRA</t>
  </si>
  <si>
    <t>AVIOS</t>
  </si>
  <si>
    <t>DESCRIPCION CORTA</t>
  </si>
  <si>
    <t>CANTIDAD</t>
  </si>
  <si>
    <t>TELA</t>
  </si>
  <si>
    <t>TELA AIRMAN RAMSEY NEGRO</t>
  </si>
  <si>
    <t>TELA AIRMAN RAMSEY BLANCO</t>
  </si>
  <si>
    <t>TELA AIRMAN RAMSEY MARINO</t>
  </si>
  <si>
    <t>TELA AIRMAN RAMSEY AZUL FRANCIA</t>
  </si>
  <si>
    <t>TELA AIRMAN RAMSEY ROJO</t>
  </si>
  <si>
    <t>TELA AIRMAN RAMSEY AZUL REY</t>
  </si>
  <si>
    <t>TELA AIRMAN WARP PIQUE NEGRO</t>
  </si>
  <si>
    <t>TELA AIRMAN WARP PIQUE AZUL REY</t>
  </si>
  <si>
    <t>TELA AIRMAN WARP PIQUE BLANCO</t>
  </si>
  <si>
    <t>TELA AIRMAN WARP PIQUEMARINO</t>
  </si>
  <si>
    <t>TELA AIRMAN WARP PIQUE ROJO</t>
  </si>
  <si>
    <t>TELA AIRMAN BLISSED NEGRO</t>
  </si>
  <si>
    <t>TELA AIRMAN BLISSED AZUL CIELO</t>
  </si>
  <si>
    <t>TELA AIRMAN BLISSED BLANCO</t>
  </si>
  <si>
    <t>TELA AIRMAN BLISSED MARINO</t>
  </si>
  <si>
    <t>TELA AIRMAN BLISSED ROJO</t>
  </si>
  <si>
    <t>TELA AIRMAN FELPA MARINO</t>
  </si>
  <si>
    <t>TELA AIRMAN FELPA GRIS OXFORD</t>
  </si>
  <si>
    <t>TELA AIRMAN FELPA NEGRO</t>
  </si>
  <si>
    <t>TELA AIRMAN MICROPOLAR MARINO</t>
  </si>
  <si>
    <t>TELA AIRMAN MICROPOLAR GRIS OXFORD</t>
  </si>
  <si>
    <t>TELA AIRMAN MICROPOLAR NEGRO</t>
  </si>
  <si>
    <t>TELA AIRMAN RAMSEY TINTO</t>
  </si>
  <si>
    <t>TELA AIRMAN RAMSEY NARANJA</t>
  </si>
  <si>
    <t>TELA AIRMAN RAMSEY AMARILLO</t>
  </si>
  <si>
    <t>TELA AIRMAN JAYA BLANCO</t>
  </si>
  <si>
    <t>Descripcion Corta</t>
  </si>
  <si>
    <t>Codigo</t>
  </si>
  <si>
    <t>U. MED</t>
  </si>
  <si>
    <t>KGS</t>
  </si>
  <si>
    <t>BOTON GRABADO AZUL MARINO #18</t>
  </si>
  <si>
    <t>BOTON GRABADO METALICO PARA PANTALÓN DE MEZCLILLA</t>
  </si>
  <si>
    <t>BOTON GRABADO NEGRO #18</t>
  </si>
  <si>
    <t>BOTON GRABADO BLANCO #18</t>
  </si>
  <si>
    <t>BOTON GRABADO BLANCO #22</t>
  </si>
  <si>
    <t>BOTON GRABADO AZUL MARINO #22</t>
  </si>
  <si>
    <t>BOTON GRABADO AZUL REY #18</t>
  </si>
  <si>
    <t>BOTON GRABADO NEGRO #22</t>
  </si>
  <si>
    <t>BOTON GRABADO ROJO #18</t>
  </si>
  <si>
    <t>ETIQUETA TRANSFER CREW TALLA EXTRA CHICA</t>
  </si>
  <si>
    <t>ETIQUETA TRANSFER CREW TALLA CHICA</t>
  </si>
  <si>
    <t>ETIQUETA TRANSFER CREW TALLA MEDIANA</t>
  </si>
  <si>
    <t>ETIQUETA TRANSFER CREW TALLA GRANDE</t>
  </si>
  <si>
    <t>ETIQUETA TRANSFER CREW TALLA EXTRA GRANDE</t>
  </si>
  <si>
    <t>ETIQUETA TRANSFER CREW TALLA DOS EXTRA GRANDE</t>
  </si>
  <si>
    <t>ETIQUETA TRANSFER CREW TALLA TRES EXTRA GRANDE</t>
  </si>
  <si>
    <t>ETIQUETA AIRMAN CREW TALLA CUATRO EXTRA GRANDE</t>
  </si>
  <si>
    <t>ETIQUETA TRANSFER CREW TALLA CINCO EXTRA GRANDE</t>
  </si>
  <si>
    <t>ETIQUETA TRANSFER SOLO TALLA EXTRA CHICA</t>
  </si>
  <si>
    <t>ETIQUETA TRANSFER SOLO TALLA CHICA</t>
  </si>
  <si>
    <t>ETIQUETA TRANSFER SOLO TALLA MEDIANA</t>
  </si>
  <si>
    <t>ETIQUETA TRANSFER SOLO TALLA GRANDE</t>
  </si>
  <si>
    <t>ETIQUETA TRANSFER SOLO TALLA EXTRA GRANDE</t>
  </si>
  <si>
    <t>ETIQUETA TRANSFER SOLO TALLA DOS EXTRA GRANDE</t>
  </si>
  <si>
    <t>ETIQUETA TRANSFER SOLO TALLA TRES EXTRA GRANDE</t>
  </si>
  <si>
    <t>ETIQUETA TRANSFER SOLO TALLA CUATRO EXTRA GRANDE</t>
  </si>
  <si>
    <t>ETIQUETA TRANSFER SOLO TALLA CINCO EXTRA GRANDE</t>
  </si>
  <si>
    <t>CAJA DE CARTON</t>
  </si>
  <si>
    <t>ETIQUETA DE COMPOSICION 100% POL</t>
  </si>
  <si>
    <t>ETIQUETA DE COMPOSICION 55% ALG - 45% POL</t>
  </si>
  <si>
    <t>BOTON GRABADO GRIS #18</t>
  </si>
  <si>
    <t>ETIQUETA DE COMPOSICION 50%ALG -50%POL PARA SUDADERA</t>
  </si>
  <si>
    <r>
      <rPr>
        <b/>
        <sz val="9"/>
        <color theme="0"/>
        <rFont val="Aptos Narrow"/>
        <family val="2"/>
      </rPr>
      <t xml:space="preserve">CODIGO  CLIENTE    </t>
    </r>
    <r>
      <rPr>
        <b/>
        <sz val="10"/>
        <color theme="0"/>
        <rFont val="Aptos Narrow"/>
        <family val="2"/>
      </rPr>
      <t xml:space="preserve">                                   </t>
    </r>
    <r>
      <rPr>
        <b/>
        <sz val="8"/>
        <color theme="0"/>
        <rFont val="Aptos Narrow"/>
        <family val="2"/>
      </rPr>
      <t>(AIRMAN)</t>
    </r>
  </si>
  <si>
    <t>CATEGORIA</t>
  </si>
  <si>
    <t>PROCESO</t>
  </si>
  <si>
    <t>SALIDA</t>
  </si>
  <si>
    <t>CAT</t>
  </si>
  <si>
    <t>AVIO</t>
  </si>
  <si>
    <r>
      <t xml:space="preserve">CODIGO CLIENTE </t>
    </r>
    <r>
      <rPr>
        <sz val="8"/>
        <color theme="1"/>
        <rFont val="Aptos Narrow"/>
        <family val="2"/>
      </rPr>
      <t>(AIRMAN)</t>
    </r>
  </si>
  <si>
    <t>FECHA</t>
  </si>
  <si>
    <t>OP</t>
  </si>
  <si>
    <t>TLBLSDRAZ6</t>
  </si>
  <si>
    <t>TELA AIRMAN BLISSED AZUL REY</t>
  </si>
  <si>
    <t>TLPUBLSAZ6</t>
  </si>
  <si>
    <t>TLRAMFOGR2</t>
  </si>
  <si>
    <t>TELA AIRMAN RAMSEY GRIS OXFORD</t>
  </si>
  <si>
    <t>TLCPRAMAM0</t>
  </si>
  <si>
    <t>TELA AIRMAN RAMSEY GRIS</t>
  </si>
  <si>
    <t>TELA AIRMAN WARP PIQUE GRIS</t>
  </si>
  <si>
    <t>TELA AIRMAN BLISSED GRIS</t>
  </si>
  <si>
    <t>Modelo</t>
  </si>
  <si>
    <t>FORCE ONE</t>
  </si>
  <si>
    <t>CREW</t>
  </si>
  <si>
    <t>DRYTEC</t>
  </si>
  <si>
    <t>FELPA</t>
  </si>
  <si>
    <t>POLAR</t>
  </si>
  <si>
    <t>MODELO</t>
  </si>
  <si>
    <t>CUELLO AIRMAN RAMSEY NEGRO</t>
  </si>
  <si>
    <t>CUELLO AIRMAN RAMSEY BLANCO</t>
  </si>
  <si>
    <t>CUELLO AIRMAN RAMSEY MARINO</t>
  </si>
  <si>
    <t>CUELLO AIRMAN RAMSEY AZUL FRANCIA</t>
  </si>
  <si>
    <t xml:space="preserve">CUELLO AIRMAN RAMSEY GRIS </t>
  </si>
  <si>
    <t>CUELLO AIRMAN RAMSEY ROJO</t>
  </si>
  <si>
    <t>CUELLO AIRMAN RAMSEY AZUL REY</t>
  </si>
  <si>
    <t>CUELLO AIRMAN RAMSEY GRIS OXFORD</t>
  </si>
  <si>
    <t>CUELLO AIRMAN RAMSEY TINTO</t>
  </si>
  <si>
    <t>CUELLO AIRMAN RAMSEY NARANJA</t>
  </si>
  <si>
    <t xml:space="preserve">CUELLO AIRMAN BLISSED GRIS </t>
  </si>
  <si>
    <t>CUELLO AIRMAN BLISSED NEGRO</t>
  </si>
  <si>
    <t>CUELLO AIRMAN BLISSED AZUL CIELO</t>
  </si>
  <si>
    <t>CUELLO AIRMAN BLISSED BLANCO</t>
  </si>
  <si>
    <t>CUELLO AIRMAN BLISSED MARINO</t>
  </si>
  <si>
    <t>CUELLO AIRMAN BLISSED AZUL REY</t>
  </si>
  <si>
    <t>CUELLO AIRMAN BLISSED ROJO</t>
  </si>
  <si>
    <t>CUELLO AIRMAN JAYA BLANCO</t>
  </si>
  <si>
    <t xml:space="preserve"> CUELLO AIRMAN BLISSED AZUL REY</t>
  </si>
  <si>
    <t>CUELLO AIRMAN RAMSEY AMARILLO</t>
  </si>
  <si>
    <t>PUÑO AIRMAN RAMSEY BLANCO</t>
  </si>
  <si>
    <t>PUÑO AIRMAN RAMSEY MARINO</t>
  </si>
  <si>
    <t>PUÑO AIRMAN RAMSEY AZUL FRANCIA</t>
  </si>
  <si>
    <t xml:space="preserve">PUÑO AIRMAN RAMSEY GRIS </t>
  </si>
  <si>
    <t>PUÑO AIRMAN RAMSEY ROJO</t>
  </si>
  <si>
    <t>PUÑO AIRMAN RAMSEY AZUL REY</t>
  </si>
  <si>
    <t xml:space="preserve"> PUÑO AIRMAN RAMSEY GRIS OXFORD</t>
  </si>
  <si>
    <t>PUÑO AIRMAN RAMSEY TINTO</t>
  </si>
  <si>
    <t>PUÑO AIRMAN RAMSEY NARANJA</t>
  </si>
  <si>
    <t>PUÑO AIRMAN RAMSEY AMARILLO</t>
  </si>
  <si>
    <t>PUÑO AIRMAN RAMSEY NEGRO</t>
  </si>
  <si>
    <t>PUÑO AIRMAN JAYA BLANCO</t>
  </si>
  <si>
    <t>PUÑO AIRMAN BLISSED AZUL REY</t>
  </si>
  <si>
    <t>PUÑO AIRMAN RAMSEY GRIS OXFORD</t>
  </si>
  <si>
    <t>TELA AIRMAN RAMSEY VERDE INGREDION</t>
  </si>
  <si>
    <t>CUELLO AIRMAN RAMSEY VERDE INGREDION</t>
  </si>
  <si>
    <t>PUÑO AIRMAN RAMSEY VERDE INGREDION</t>
  </si>
  <si>
    <t>TLCARFEAZ4</t>
  </si>
  <si>
    <t>TLCARFEGR2</t>
  </si>
  <si>
    <t>TLCARFENE0</t>
  </si>
  <si>
    <t>CARDIGAN AZUL MARINO</t>
  </si>
  <si>
    <t>CARDIGAN GRIS OXFORD</t>
  </si>
  <si>
    <t>CARDIGAN NEGRO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</si>
</sst>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0"/>
      <color theme="1"/>
      <name val="Aptos Narrow"/>
      <family val="2"/>
    </font>
    <font>
      <sz val="10"/>
      <color theme="1"/>
      <name val="Aptos Narrow"/>
      <family val="2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</font>
    <font>
      <b/>
      <sz val="13"/>
      <color theme="3"/>
      <name val="Aptos Narrow"/>
      <family val="2"/>
    </font>
    <font>
      <b/>
      <sz val="11"/>
      <color theme="3"/>
      <name val="Aptos Narrow"/>
      <family val="2"/>
    </font>
    <font>
      <sz val="10"/>
      <color rgb="FF006100"/>
      <name val="Aptos Narrow"/>
      <family val="2"/>
    </font>
    <font>
      <sz val="10"/>
      <color rgb="FF9C0006"/>
      <name val="Aptos Narrow"/>
      <family val="2"/>
    </font>
    <font>
      <sz val="10"/>
      <color rgb="FF9C5700"/>
      <name val="Aptos Narrow"/>
      <family val="2"/>
    </font>
    <font>
      <sz val="10"/>
      <color rgb="FF3F3F76"/>
      <name val="Aptos Narrow"/>
      <family val="2"/>
    </font>
    <font>
      <b/>
      <sz val="10"/>
      <color rgb="FF3F3F3F"/>
      <name val="Aptos Narrow"/>
      <family val="2"/>
    </font>
    <font>
      <b/>
      <sz val="10"/>
      <color rgb="FFFA7D00"/>
      <name val="Aptos Narrow"/>
      <family val="2"/>
    </font>
    <font>
      <sz val="10"/>
      <color rgb="FFFA7D00"/>
      <name val="Aptos Narrow"/>
      <family val="2"/>
    </font>
    <font>
      <b/>
      <sz val="10"/>
      <color theme="0"/>
      <name val="Aptos Narrow"/>
      <family val="2"/>
    </font>
    <font>
      <sz val="10"/>
      <color rgb="FFFF0000"/>
      <name val="Aptos Narrow"/>
      <family val="2"/>
    </font>
    <font>
      <i/>
      <sz val="10"/>
      <color rgb="FF7F7F7F"/>
      <name val="Aptos Narrow"/>
      <family val="2"/>
    </font>
    <font>
      <b/>
      <sz val="10"/>
      <color theme="1"/>
      <name val="Aptos Narrow"/>
      <family val="2"/>
    </font>
    <font>
      <sz val="10"/>
      <color theme="0"/>
      <name val="Aptos Narrow"/>
      <family val="2"/>
    </font>
    <font>
      <b/>
      <sz val="10"/>
      <color rgb="FFFFFFFF"/>
      <name val="Aptos Narrow"/>
      <family val="2"/>
    </font>
    <font>
      <sz val="10"/>
      <color rgb="FF000000"/>
      <name val="Aptos Narrow"/>
      <family val="2"/>
    </font>
    <font>
      <sz val="11"/>
      <color theme="1"/>
      <name val="Aptos Narrow"/>
      <family val="2"/>
    </font>
    <font>
      <sz val="16"/>
      <color theme="1"/>
      <name val="Aptos Narrow"/>
      <family val="2"/>
    </font>
    <font>
      <b/>
      <sz val="9"/>
      <color theme="0"/>
      <name val="Aptos Narrow"/>
      <family val="2"/>
    </font>
    <font>
      <b/>
      <sz val="8"/>
      <color theme="0"/>
      <name val="Aptos Narrow"/>
      <family val="2"/>
    </font>
    <font>
      <sz val="8"/>
      <color theme="1"/>
      <name val="Aptos Narrow"/>
      <family val="2"/>
    </font>
    <font>
      <b/>
      <sz val="12"/>
      <color theme="0"/>
      <name val="Aptos Narrow"/>
      <family val="2"/>
    </font>
    <font>
      <b/>
      <sz val="11"/>
      <color theme="1"/>
      <name val="Aptos Narrow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4A2B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D94A2B"/>
      </left>
      <right style="medium">
        <color rgb="FFD94A2B"/>
      </right>
      <top style="medium">
        <color rgb="FFD94A2B"/>
      </top>
      <bottom style="medium">
        <color rgb="FFD94A2B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1">
    <xf numFmtId="0" fontId="0" fillId="0" borderId="0" xfId="0"/>
    <xf numFmtId="0" fontId="0" fillId="0" borderId="0" xfId="0" applyAlignment="1">
      <alignment horizontal="center"/>
    </xf>
    <xf numFmtId="0" fontId="19" fillId="0" borderId="10" xfId="0" applyFont="1" applyBorder="1" applyAlignment="1">
      <alignment horizontal="center"/>
    </xf>
    <xf numFmtId="4" fontId="19" fillId="0" borderId="10" xfId="0" applyNumberFormat="1" applyFont="1" applyBorder="1" applyAlignment="1">
      <alignment horizontal="center"/>
    </xf>
    <xf numFmtId="0" fontId="18" fillId="33" borderId="10" xfId="0" applyFont="1" applyFill="1" applyBorder="1" applyAlignment="1">
      <alignment horizontal="center"/>
    </xf>
    <xf numFmtId="0" fontId="1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14" fontId="20" fillId="0" borderId="29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3" fillId="34" borderId="30" xfId="0" applyFont="1" applyFill="1" applyBorder="1" applyAlignment="1">
      <alignment horizontal="center" vertical="center"/>
    </xf>
    <xf numFmtId="0" fontId="17" fillId="35" borderId="15" xfId="0" applyFont="1" applyFill="1" applyBorder="1" applyAlignment="1">
      <alignment horizontal="center" vertical="center"/>
    </xf>
    <xf numFmtId="0" fontId="17" fillId="35" borderId="20" xfId="0" applyFont="1" applyFill="1" applyBorder="1" applyAlignment="1">
      <alignment horizontal="center" vertical="center"/>
    </xf>
    <xf numFmtId="0" fontId="17" fillId="35" borderId="24" xfId="0" applyFont="1" applyFill="1" applyBorder="1" applyAlignment="1">
      <alignment horizontal="center" vertical="center"/>
    </xf>
    <xf numFmtId="0" fontId="17" fillId="35" borderId="11" xfId="0" applyFont="1" applyFill="1" applyBorder="1" applyAlignment="1">
      <alignment horizontal="center" vertical="center"/>
    </xf>
    <xf numFmtId="0" fontId="13" fillId="37" borderId="28" xfId="0" applyFont="1" applyFill="1" applyBorder="1" applyAlignment="1">
      <alignment horizontal="center" vertical="center"/>
    </xf>
    <xf numFmtId="0" fontId="13" fillId="37" borderId="13" xfId="0" applyFont="1" applyFill="1" applyBorder="1" applyAlignment="1" applyProtection="1">
      <alignment horizontal="center" vertical="center" wrapText="1"/>
      <protection locked="0"/>
    </xf>
    <xf numFmtId="0" fontId="13" fillId="37" borderId="12" xfId="0" applyFont="1" applyFill="1" applyBorder="1" applyAlignment="1">
      <alignment horizontal="center" vertical="center"/>
    </xf>
    <xf numFmtId="0" fontId="13" fillId="37" borderId="12" xfId="0" applyFont="1" applyFill="1" applyBorder="1" applyAlignment="1" applyProtection="1">
      <alignment horizontal="center" vertical="center"/>
      <protection locked="0"/>
    </xf>
    <xf numFmtId="0" fontId="13" fillId="37" borderId="16" xfId="0" applyFont="1" applyFill="1" applyBorder="1" applyAlignment="1">
      <alignment horizontal="center" vertical="center"/>
    </xf>
    <xf numFmtId="0" fontId="0" fillId="37" borderId="17" xfId="0" applyFill="1" applyBorder="1" applyAlignment="1">
      <alignment horizontal="center" vertical="center"/>
    </xf>
    <xf numFmtId="0" fontId="0" fillId="37" borderId="18" xfId="0" applyFill="1" applyBorder="1" applyAlignment="1">
      <alignment horizontal="center" vertical="center"/>
    </xf>
    <xf numFmtId="0" fontId="0" fillId="37" borderId="19" xfId="0" applyFill="1" applyBorder="1" applyAlignment="1">
      <alignment horizontal="center" vertical="center"/>
    </xf>
    <xf numFmtId="0" fontId="0" fillId="37" borderId="26" xfId="0" applyFill="1" applyBorder="1" applyAlignment="1">
      <alignment horizontal="center" vertical="center"/>
    </xf>
    <xf numFmtId="0" fontId="0" fillId="37" borderId="0" xfId="0" applyFill="1" applyAlignment="1">
      <alignment horizontal="center" vertical="center"/>
    </xf>
    <xf numFmtId="0" fontId="0" fillId="37" borderId="27" xfId="0" applyFill="1" applyBorder="1" applyAlignment="1">
      <alignment horizontal="center" vertical="center"/>
    </xf>
    <xf numFmtId="0" fontId="0" fillId="37" borderId="21" xfId="0" applyFill="1" applyBorder="1" applyAlignment="1">
      <alignment horizontal="center" vertical="center"/>
    </xf>
    <xf numFmtId="0" fontId="0" fillId="37" borderId="22" xfId="0" applyFill="1" applyBorder="1" applyAlignment="1">
      <alignment horizontal="center" vertical="center"/>
    </xf>
    <xf numFmtId="0" fontId="0" fillId="37" borderId="23" xfId="0" applyFill="1" applyBorder="1" applyAlignment="1">
      <alignment horizontal="center" vertical="center"/>
    </xf>
    <xf numFmtId="0" fontId="13" fillId="34" borderId="34" xfId="0" applyFont="1" applyFill="1" applyBorder="1" applyAlignment="1">
      <alignment horizontal="center" vertical="center"/>
    </xf>
    <xf numFmtId="0" fontId="0" fillId="36" borderId="34" xfId="0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36" borderId="33" xfId="0" applyFill="1" applyBorder="1" applyAlignment="1">
      <alignment horizontal="center" vertical="center"/>
    </xf>
    <xf numFmtId="0" fontId="0" fillId="36" borderId="35" xfId="0" applyFill="1" applyBorder="1" applyAlignment="1">
      <alignment horizontal="center" vertical="center"/>
    </xf>
    <xf numFmtId="0" fontId="13" fillId="37" borderId="17" xfId="0" applyFont="1" applyFill="1" applyBorder="1" applyAlignment="1">
      <alignment horizontal="center" vertical="center"/>
    </xf>
    <xf numFmtId="0" fontId="13" fillId="37" borderId="18" xfId="0" applyFont="1" applyFill="1" applyBorder="1" applyAlignment="1">
      <alignment horizontal="center" vertical="center"/>
    </xf>
    <xf numFmtId="0" fontId="13" fillId="37" borderId="19" xfId="0" applyFont="1" applyFill="1" applyBorder="1" applyAlignment="1">
      <alignment horizontal="center" vertical="center"/>
    </xf>
    <xf numFmtId="0" fontId="25" fillId="37" borderId="17" xfId="0" applyFont="1" applyFill="1" applyBorder="1" applyAlignment="1">
      <alignment horizontal="center" vertical="center"/>
    </xf>
    <xf numFmtId="0" fontId="25" fillId="37" borderId="19" xfId="0" applyFont="1" applyFill="1" applyBorder="1" applyAlignment="1">
      <alignment horizontal="center" vertical="center"/>
    </xf>
    <xf numFmtId="0" fontId="25" fillId="37" borderId="21" xfId="0" applyFont="1" applyFill="1" applyBorder="1" applyAlignment="1">
      <alignment horizontal="center" vertical="center"/>
    </xf>
    <xf numFmtId="0" fontId="25" fillId="37" borderId="23" xfId="0" applyFont="1" applyFill="1" applyBorder="1" applyAlignment="1">
      <alignment horizontal="center" vertical="center"/>
    </xf>
    <xf numFmtId="0" fontId="25" fillId="37" borderId="31" xfId="0" applyFont="1" applyFill="1" applyBorder="1" applyAlignment="1">
      <alignment horizontal="center" vertical="center"/>
    </xf>
    <xf numFmtId="0" fontId="25" fillId="37" borderId="32" xfId="0" applyFont="1" applyFill="1" applyBorder="1" applyAlignment="1">
      <alignment horizontal="center" vertical="center"/>
    </xf>
    <xf numFmtId="14" fontId="26" fillId="38" borderId="19" xfId="0" applyNumberFormat="1" applyFont="1" applyFill="1" applyBorder="1" applyAlignment="1">
      <alignment horizontal="center" vertical="center"/>
    </xf>
    <xf numFmtId="14" fontId="26" fillId="38" borderId="23" xfId="0" applyNumberFormat="1" applyFont="1" applyFill="1" applyBorder="1" applyAlignment="1">
      <alignment horizontal="center" vertical="center"/>
    </xf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3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font>
        <i val="0"/>
      </font>
    </dxf>
    <dxf>
      <font>
        <i val="0"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Aptos Narrow"/>
        <family val="2"/>
        <scheme val="none"/>
      </font>
      <fill>
        <patternFill patternType="solid">
          <fgColor indexed="64"/>
          <bgColor theme="2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Aptos Narrow"/>
        <family val="2"/>
        <scheme val="none"/>
      </font>
      <fill>
        <patternFill patternType="solid">
          <fgColor indexed="64"/>
          <bgColor theme="2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none"/>
      </font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Aptos Narrow"/>
        <family val="2"/>
        <scheme val="none"/>
      </font>
      <fill>
        <patternFill patternType="solid">
          <fgColor indexed="64"/>
          <bgColor theme="2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Aptos Narrow"/>
        <family val="2"/>
        <scheme val="none"/>
      </font>
      <fill>
        <patternFill patternType="solid">
          <fgColor indexed="64"/>
          <bgColor theme="2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none"/>
      </font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205002</xdr:colOff>
      <xdr:row>20</xdr:row>
      <xdr:rowOff>3726</xdr:rowOff>
    </xdr:from>
    <xdr:to>
      <xdr:col>2</xdr:col>
      <xdr:colOff>1214652</xdr:colOff>
      <xdr:row>21</xdr:row>
      <xdr:rowOff>175176</xdr:rowOff>
    </xdr:to>
    <xdr:sp macro="[0]!VACIADO_REPORTE_PRO" textlink="">
      <xdr:nvSpPr>
        <xdr:cNvPr id="2" name="Rectángulo: biselado 1">
          <a:extLst>
            <a:ext uri="{FF2B5EF4-FFF2-40B4-BE49-F238E27FC236}">
              <a16:creationId xmlns:a16="http://schemas.microsoft.com/office/drawing/2014/main" id="{F6A72F36-E728-75B3-87EA-000ADF667B25}"/>
            </a:ext>
          </a:extLst>
        </xdr:cNvPr>
        <xdr:cNvSpPr/>
      </xdr:nvSpPr>
      <xdr:spPr>
        <a:xfrm>
          <a:off x="967002" y="5635900"/>
          <a:ext cx="2260324" cy="461341"/>
        </a:xfrm>
        <a:prstGeom prst="bevel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  <xdr:twoCellAnchor>
    <xdr:from>
      <xdr:col>2</xdr:col>
      <xdr:colOff>1739760</xdr:colOff>
      <xdr:row>19</xdr:row>
      <xdr:rowOff>283035</xdr:rowOff>
    </xdr:from>
    <xdr:to>
      <xdr:col>4</xdr:col>
      <xdr:colOff>815835</xdr:colOff>
      <xdr:row>21</xdr:row>
      <xdr:rowOff>164594</xdr:rowOff>
    </xdr:to>
    <xdr:sp macro="[0]!LIMPIAR" textlink="">
      <xdr:nvSpPr>
        <xdr:cNvPr id="3" name="Rectángulo: biselado 2">
          <a:extLst>
            <a:ext uri="{FF2B5EF4-FFF2-40B4-BE49-F238E27FC236}">
              <a16:creationId xmlns:a16="http://schemas.microsoft.com/office/drawing/2014/main" id="{980455FB-CBBA-4BB1-8B82-15537277828A}"/>
            </a:ext>
          </a:extLst>
        </xdr:cNvPr>
        <xdr:cNvSpPr/>
      </xdr:nvSpPr>
      <xdr:spPr>
        <a:xfrm>
          <a:off x="3752434" y="5625318"/>
          <a:ext cx="2256597" cy="461341"/>
        </a:xfrm>
        <a:prstGeom prst="bevel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oneCellAnchor>
    <xdr:from>
      <xdr:col>1</xdr:col>
      <xdr:colOff>669313</xdr:colOff>
      <xdr:row>20</xdr:row>
      <xdr:rowOff>31216</xdr:rowOff>
    </xdr:from>
    <xdr:ext cx="1378562" cy="374077"/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8D47E771-0D84-0FC1-3B3B-309BF4C3141D}"/>
            </a:ext>
          </a:extLst>
        </xdr:cNvPr>
        <xdr:cNvSpPr/>
      </xdr:nvSpPr>
      <xdr:spPr>
        <a:xfrm>
          <a:off x="1431313" y="5593816"/>
          <a:ext cx="1378562" cy="37407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18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REGISTRAR</a:t>
          </a:r>
        </a:p>
      </xdr:txBody>
    </xdr:sp>
    <xdr:clientData/>
  </xdr:oneCellAnchor>
  <xdr:oneCellAnchor>
    <xdr:from>
      <xdr:col>3</xdr:col>
      <xdr:colOff>19050</xdr:colOff>
      <xdr:row>20</xdr:row>
      <xdr:rowOff>38100</xdr:rowOff>
    </xdr:from>
    <xdr:ext cx="1028700" cy="374077"/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D04994B5-5727-4EDE-ACA6-956051347C7B}"/>
            </a:ext>
          </a:extLst>
        </xdr:cNvPr>
        <xdr:cNvSpPr/>
      </xdr:nvSpPr>
      <xdr:spPr>
        <a:xfrm>
          <a:off x="4514850" y="5600700"/>
          <a:ext cx="1028700" cy="37407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18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LIMPIAR</a:t>
          </a:r>
        </a:p>
      </xdr:txBody>
    </xdr:sp>
    <xdr:clientData/>
  </xdr:oneCellAnchor>
  <xdr:twoCellAnchor>
    <xdr:from>
      <xdr:col>8</xdr:col>
      <xdr:colOff>323850</xdr:colOff>
      <xdr:row>4</xdr:row>
      <xdr:rowOff>190499</xdr:rowOff>
    </xdr:from>
    <xdr:to>
      <xdr:col>15</xdr:col>
      <xdr:colOff>133350</xdr:colOff>
      <xdr:row>21</xdr:row>
      <xdr:rowOff>200024</xdr:rowOff>
    </xdr:to>
    <xdr:sp macro="" textlink="">
      <xdr:nvSpPr>
        <xdr:cNvPr id="6" name="Rectángulo: esquinas superiores redondeadas 5">
          <a:extLst>
            <a:ext uri="{FF2B5EF4-FFF2-40B4-BE49-F238E27FC236}">
              <a16:creationId xmlns:a16="http://schemas.microsoft.com/office/drawing/2014/main" id="{6A020863-A238-C7B9-1806-8F46331987A2}"/>
            </a:ext>
          </a:extLst>
        </xdr:cNvPr>
        <xdr:cNvSpPr/>
      </xdr:nvSpPr>
      <xdr:spPr>
        <a:xfrm>
          <a:off x="8858250" y="1333499"/>
          <a:ext cx="5143500" cy="4714875"/>
        </a:xfrm>
        <a:prstGeom prst="round2SameRect">
          <a:avLst>
            <a:gd name="adj1" fmla="val 16667"/>
            <a:gd name="adj2" fmla="val 14315"/>
          </a:avLst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9</xdr:col>
      <xdr:colOff>38100</xdr:colOff>
      <xdr:row>5</xdr:row>
      <xdr:rowOff>142875</xdr:rowOff>
    </xdr:from>
    <xdr:to>
      <xdr:col>14</xdr:col>
      <xdr:colOff>571499</xdr:colOff>
      <xdr:row>21</xdr:row>
      <xdr:rowOff>66675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1308145B-E6BA-5135-D07F-3686D50A01D8}"/>
            </a:ext>
          </a:extLst>
        </xdr:cNvPr>
        <xdr:cNvSpPr txBox="1"/>
      </xdr:nvSpPr>
      <xdr:spPr>
        <a:xfrm>
          <a:off x="9334500" y="1495425"/>
          <a:ext cx="4343399" cy="4419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>
              <a:solidFill>
                <a:schemeClr val="bg1"/>
              </a:solidFill>
            </a:rPr>
            <a:t>Para asegurar que el inventario y los reportes se generen correctamente, siga estos pasos en orden:</a:t>
          </a:r>
        </a:p>
        <a:p>
          <a:endParaRPr lang="es-MX">
            <a:solidFill>
              <a:schemeClr val="bg1"/>
            </a:solidFill>
          </a:endParaRPr>
        </a:p>
        <a:p>
          <a:r>
            <a:rPr lang="es-MX" b="1">
              <a:solidFill>
                <a:schemeClr val="bg1"/>
              </a:solidFill>
            </a:rPr>
            <a:t>1. Datos de la OP</a:t>
          </a:r>
        </a:p>
        <a:p>
          <a:r>
            <a:rPr lang="es-MX" b="1">
              <a:solidFill>
                <a:schemeClr val="bg1"/>
              </a:solidFill>
            </a:rPr>
            <a:t>(OP):</a:t>
          </a:r>
          <a:r>
            <a:rPr lang="es-MX">
              <a:solidFill>
                <a:schemeClr val="bg1"/>
              </a:solidFill>
            </a:rPr>
            <a:t> Ingrese el número de la Orden de Produccion.</a:t>
          </a:r>
        </a:p>
        <a:p>
          <a:r>
            <a:rPr lang="es-MX" b="1">
              <a:solidFill>
                <a:schemeClr val="bg1"/>
              </a:solidFill>
            </a:rPr>
            <a:t>(FECHA):</a:t>
          </a:r>
          <a:r>
            <a:rPr lang="es-MX">
              <a:solidFill>
                <a:schemeClr val="bg1"/>
              </a:solidFill>
            </a:rPr>
            <a:t> Ingrese la fecha del registro (Formato: DD/MM/AAAA).</a:t>
          </a:r>
          <a:br>
            <a:rPr lang="es-MX">
              <a:solidFill>
                <a:schemeClr val="bg1"/>
              </a:solidFill>
            </a:rPr>
          </a:br>
          <a:endParaRPr lang="es-MX">
            <a:solidFill>
              <a:schemeClr val="bg1"/>
            </a:solidFill>
          </a:endParaRPr>
        </a:p>
        <a:p>
          <a:r>
            <a:rPr lang="es-MX" b="1">
              <a:solidFill>
                <a:schemeClr val="bg1"/>
              </a:solidFill>
            </a:rPr>
            <a:t>2. Registro de Materiales (TELA y AVIOS)</a:t>
          </a:r>
        </a:p>
        <a:p>
          <a:r>
            <a:rPr lang="es-MX">
              <a:solidFill>
                <a:schemeClr val="bg1"/>
              </a:solidFill>
            </a:rPr>
            <a:t>En ambas tablas, </a:t>
          </a:r>
          <a:r>
            <a:rPr lang="es-MX" b="1">
              <a:solidFill>
                <a:schemeClr val="bg1"/>
              </a:solidFill>
            </a:rPr>
            <a:t>solo debe llenar las celdas blancas</a:t>
          </a:r>
          <a:r>
            <a:rPr lang="es-MX">
              <a:solidFill>
                <a:schemeClr val="bg1"/>
              </a:solidFill>
            </a:rPr>
            <a:t>:</a:t>
          </a:r>
        </a:p>
        <a:p>
          <a:r>
            <a:rPr lang="es-MX" b="1">
              <a:solidFill>
                <a:schemeClr val="bg1"/>
              </a:solidFill>
            </a:rPr>
            <a:t>DESCRIPCIÓN CORTA:</a:t>
          </a:r>
          <a:r>
            <a:rPr lang="es-MX">
              <a:solidFill>
                <a:schemeClr val="bg1"/>
              </a:solidFill>
            </a:rPr>
            <a:t> Seleccione o escriba la descripción del material.</a:t>
          </a:r>
        </a:p>
        <a:p>
          <a:pPr lvl="1"/>
          <a:r>
            <a:rPr lang="es-MX" i="1">
              <a:solidFill>
                <a:schemeClr val="bg1"/>
              </a:solidFill>
            </a:rPr>
            <a:t>Al hacerlo, el </a:t>
          </a:r>
          <a:r>
            <a:rPr lang="es-MX" b="1" i="1">
              <a:solidFill>
                <a:schemeClr val="bg1"/>
              </a:solidFill>
            </a:rPr>
            <a:t>Código</a:t>
          </a:r>
          <a:r>
            <a:rPr lang="es-MX" i="1">
              <a:solidFill>
                <a:schemeClr val="bg1"/>
              </a:solidFill>
            </a:rPr>
            <a:t> y la </a:t>
          </a:r>
          <a:r>
            <a:rPr lang="es-MX" b="1" i="1">
              <a:solidFill>
                <a:schemeClr val="bg1"/>
              </a:solidFill>
            </a:rPr>
            <a:t>U. Med</a:t>
          </a:r>
          <a:r>
            <a:rPr lang="es-MX" i="1">
              <a:solidFill>
                <a:schemeClr val="bg1"/>
              </a:solidFill>
            </a:rPr>
            <a:t> aparecerán automáticamente. No intente escribirlos manualmente.</a:t>
          </a:r>
          <a:endParaRPr lang="es-MX">
            <a:solidFill>
              <a:schemeClr val="bg1"/>
            </a:solidFill>
          </a:endParaRPr>
        </a:p>
        <a:p>
          <a:r>
            <a:rPr lang="es-MX" b="1">
              <a:solidFill>
                <a:schemeClr val="bg1"/>
              </a:solidFill>
            </a:rPr>
            <a:t>CANTIDAD:</a:t>
          </a:r>
          <a:r>
            <a:rPr lang="es-MX">
              <a:solidFill>
                <a:schemeClr val="bg1"/>
              </a:solidFill>
            </a:rPr>
            <a:t> Ingrese el número de unidades o kilos que corresponden a esa partida.</a:t>
          </a:r>
        </a:p>
        <a:p>
          <a:endParaRPr lang="es-MX">
            <a:solidFill>
              <a:schemeClr val="bg1"/>
            </a:solidFill>
          </a:endParaRPr>
        </a:p>
        <a:p>
          <a:r>
            <a:rPr lang="es-MX" b="1">
              <a:solidFill>
                <a:schemeClr val="bg1"/>
              </a:solidFill>
            </a:rPr>
            <a:t>3. Guardar y Limpiar</a:t>
          </a:r>
        </a:p>
        <a:p>
          <a:r>
            <a:rPr lang="es-MX">
              <a:solidFill>
                <a:schemeClr val="bg1"/>
              </a:solidFill>
            </a:rPr>
            <a:t>Una vez que toda la información de la OC esté completa en las tablas:</a:t>
          </a:r>
        </a:p>
        <a:p>
          <a:r>
            <a:rPr lang="es-MX" b="1">
              <a:solidFill>
                <a:schemeClr val="bg1"/>
              </a:solidFill>
            </a:rPr>
            <a:t>Botón REGISTRAR:</a:t>
          </a:r>
          <a:r>
            <a:rPr lang="es-MX">
              <a:solidFill>
                <a:schemeClr val="bg1"/>
              </a:solidFill>
            </a:rPr>
            <a:t> Haga clic aquí para enviar toda la información al "Reporte de Producción". Verá un mensaje de confirmación cuando termine.</a:t>
          </a:r>
        </a:p>
        <a:p>
          <a:r>
            <a:rPr lang="es-MX" b="1">
              <a:solidFill>
                <a:schemeClr val="bg1"/>
              </a:solidFill>
            </a:rPr>
            <a:t>Botón LIMPIAR:</a:t>
          </a:r>
          <a:r>
            <a:rPr lang="es-MX">
              <a:solidFill>
                <a:schemeClr val="bg1"/>
              </a:solidFill>
            </a:rPr>
            <a:t> Después de registrar, presione este botón para borrar los datos actuales y dejar la hoja lista para una nueva orden.</a:t>
          </a:r>
        </a:p>
        <a:p>
          <a:r>
            <a:rPr lang="es-MX" b="1">
              <a:solidFill>
                <a:schemeClr val="bg1"/>
              </a:solidFill>
            </a:rPr>
            <a:t>⚠️ NOTA IMPORTANTE:</a:t>
          </a:r>
          <a:r>
            <a:rPr lang="es-MX">
              <a:solidFill>
                <a:schemeClr val="bg1"/>
              </a:solidFill>
            </a:rPr>
            <a:t> No intente modificar las celdas de Código o Unidad de Medida, ya que contienen fórmulas protegidas para evitar errores en la base de datos.</a:t>
          </a:r>
        </a:p>
        <a:p>
          <a:endParaRPr lang="es-MX" sz="1100"/>
        </a:p>
      </xdr:txBody>
    </xdr:sp>
    <xdr:clientData/>
  </xdr:twoCellAnchor>
  <xdr:oneCellAnchor>
    <xdr:from>
      <xdr:col>9</xdr:col>
      <xdr:colOff>54585</xdr:colOff>
      <xdr:row>1</xdr:row>
      <xdr:rowOff>193141</xdr:rowOff>
    </xdr:from>
    <xdr:ext cx="3891323" cy="937693"/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45907BDD-2F63-70D9-89F0-3566D9D4BA20}"/>
            </a:ext>
          </a:extLst>
        </xdr:cNvPr>
        <xdr:cNvSpPr/>
      </xdr:nvSpPr>
      <xdr:spPr>
        <a:xfrm>
          <a:off x="9350985" y="478891"/>
          <a:ext cx="3891323" cy="93769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MX" sz="5400" b="1" cap="none" spc="0">
              <a:ln w="12700">
                <a:solidFill>
                  <a:schemeClr val="accent1"/>
                </a:solidFill>
                <a:prstDash val="solid"/>
              </a:ln>
              <a:pattFill prst="pct50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effectLst>
                <a:outerShdw blurRad="60007" dist="200025" dir="15000000" sy="30000" kx="-1800000" algn="bl" rotWithShape="0">
                  <a:prstClr val="black">
                    <a:alpha val="32000"/>
                  </a:prstClr>
                </a:outerShdw>
              </a:effectLst>
            </a:rPr>
            <a:t>GUIA</a:t>
          </a:r>
          <a:r>
            <a:rPr lang="es-MX" sz="5400" b="1" cap="none" spc="0" baseline="0">
              <a:ln w="12700">
                <a:solidFill>
                  <a:schemeClr val="accent1"/>
                </a:solidFill>
                <a:prstDash val="solid"/>
              </a:ln>
              <a:pattFill prst="pct50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effectLst>
                <a:outerShdw blurRad="60007" dist="200025" dir="15000000" sy="30000" kx="-1800000" algn="bl" rotWithShape="0">
                  <a:prstClr val="black">
                    <a:alpha val="32000"/>
                  </a:prstClr>
                </a:outerShdw>
              </a:effectLst>
            </a:rPr>
            <a:t> DE USO</a:t>
          </a:r>
          <a:endParaRPr lang="es-ES" sz="5400" b="1" cap="none" spc="50">
            <a:ln w="0"/>
            <a:solidFill>
              <a:schemeClr val="bg2"/>
            </a:solidFill>
            <a:effectLst>
              <a:outerShdw blurRad="60007" dist="200025" dir="15000000" sy="30000" kx="-1800000" algn="bl" rotWithShape="0">
                <a:prstClr val="black">
                  <a:alpha val="32000"/>
                </a:prstClr>
              </a:outerShdw>
            </a:effectLst>
          </a:endParaRPr>
        </a:p>
      </xdr:txBody>
    </xdr:sp>
    <xdr:clientData/>
  </xdr:oneCellAnchor>
  <xdr:twoCellAnchor>
    <xdr:from>
      <xdr:col>5</xdr:col>
      <xdr:colOff>152400</xdr:colOff>
      <xdr:row>7</xdr:row>
      <xdr:rowOff>266700</xdr:rowOff>
    </xdr:from>
    <xdr:to>
      <xdr:col>5</xdr:col>
      <xdr:colOff>638175</xdr:colOff>
      <xdr:row>8</xdr:row>
      <xdr:rowOff>180975</xdr:rowOff>
    </xdr:to>
    <xdr:sp macro="" textlink="">
      <xdr:nvSpPr>
        <xdr:cNvPr id="10" name="Flecha: a la derecha 9">
          <a:extLst>
            <a:ext uri="{FF2B5EF4-FFF2-40B4-BE49-F238E27FC236}">
              <a16:creationId xmlns:a16="http://schemas.microsoft.com/office/drawing/2014/main" id="{F16E6746-9F1B-134A-BB76-5E5732B3CAB6}"/>
            </a:ext>
          </a:extLst>
        </xdr:cNvPr>
        <xdr:cNvSpPr/>
      </xdr:nvSpPr>
      <xdr:spPr>
        <a:xfrm rot="10800000">
          <a:off x="6400800" y="2190750"/>
          <a:ext cx="485775" cy="200025"/>
        </a:xfrm>
        <a:prstGeom prst="rightArrow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5</xdr:col>
      <xdr:colOff>152400</xdr:colOff>
      <xdr:row>9</xdr:row>
      <xdr:rowOff>19050</xdr:rowOff>
    </xdr:from>
    <xdr:to>
      <xdr:col>5</xdr:col>
      <xdr:colOff>638175</xdr:colOff>
      <xdr:row>9</xdr:row>
      <xdr:rowOff>219075</xdr:rowOff>
    </xdr:to>
    <xdr:sp macro="" textlink="">
      <xdr:nvSpPr>
        <xdr:cNvPr id="11" name="Flecha: a la derecha 10">
          <a:extLst>
            <a:ext uri="{FF2B5EF4-FFF2-40B4-BE49-F238E27FC236}">
              <a16:creationId xmlns:a16="http://schemas.microsoft.com/office/drawing/2014/main" id="{0D6361E0-F82B-4437-8B02-ABE08AD202CB}"/>
            </a:ext>
          </a:extLst>
        </xdr:cNvPr>
        <xdr:cNvSpPr/>
      </xdr:nvSpPr>
      <xdr:spPr>
        <a:xfrm rot="10800000">
          <a:off x="6400800" y="2514600"/>
          <a:ext cx="485775" cy="200025"/>
        </a:xfrm>
        <a:prstGeom prst="rightArrow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oneCellAnchor>
    <xdr:from>
      <xdr:col>5</xdr:col>
      <xdr:colOff>584545</xdr:colOff>
      <xdr:row>7</xdr:row>
      <xdr:rowOff>161925</xdr:rowOff>
    </xdr:from>
    <xdr:ext cx="950580" cy="374077"/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F335491D-7911-4553-8C0D-B4F17F51086C}"/>
            </a:ext>
          </a:extLst>
        </xdr:cNvPr>
        <xdr:cNvSpPr/>
      </xdr:nvSpPr>
      <xdr:spPr>
        <a:xfrm>
          <a:off x="6832945" y="2085975"/>
          <a:ext cx="950580" cy="37407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MX" sz="1800" b="1" cap="none" spc="0">
              <a:ln w="12700">
                <a:solidFill>
                  <a:schemeClr val="accent1"/>
                </a:solidFill>
                <a:prstDash val="solid"/>
              </a:ln>
              <a:pattFill prst="pct50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effectLst>
                <a:outerShdw blurRad="60007" dist="200025" dir="15000000" sy="30000" kx="-1800000" algn="bl" rotWithShape="0">
                  <a:prstClr val="black">
                    <a:alpha val="32000"/>
                  </a:prstClr>
                </a:outerShdw>
              </a:effectLst>
            </a:rPr>
            <a:t>CUELLO</a:t>
          </a:r>
          <a:endParaRPr lang="es-ES" sz="1800" b="1" cap="none" spc="50">
            <a:ln w="0"/>
            <a:solidFill>
              <a:schemeClr val="bg2"/>
            </a:solidFill>
            <a:effectLst>
              <a:outerShdw blurRad="60007" dist="200025" dir="15000000" sy="30000" kx="-1800000" algn="bl" rotWithShape="0">
                <a:prstClr val="black">
                  <a:alpha val="32000"/>
                </a:prstClr>
              </a:outerShdw>
            </a:effectLst>
          </a:endParaRPr>
        </a:p>
      </xdr:txBody>
    </xdr:sp>
    <xdr:clientData/>
  </xdr:oneCellAnchor>
  <xdr:oneCellAnchor>
    <xdr:from>
      <xdr:col>5</xdr:col>
      <xdr:colOff>677241</xdr:colOff>
      <xdr:row>8</xdr:row>
      <xdr:rowOff>200025</xdr:rowOff>
    </xdr:from>
    <xdr:ext cx="777199" cy="374077"/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B1475D0B-A85E-4B7C-A87B-FD6B8070F917}"/>
            </a:ext>
          </a:extLst>
        </xdr:cNvPr>
        <xdr:cNvSpPr/>
      </xdr:nvSpPr>
      <xdr:spPr>
        <a:xfrm>
          <a:off x="7249491" y="2409825"/>
          <a:ext cx="777199" cy="374077"/>
        </a:xfrm>
        <a:prstGeom prst="rect">
          <a:avLst/>
        </a:prstGeom>
        <a:noFill/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1800" b="1" cap="none" spc="0">
              <a:ln w="12700">
                <a:solidFill>
                  <a:schemeClr val="accent1"/>
                </a:solidFill>
                <a:prstDash val="solid"/>
              </a:ln>
              <a:pattFill prst="pct50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effectLst>
                <a:outerShdw blurRad="60007" dist="200025" dir="15000000" sy="30000" kx="-1800000" algn="bl" rotWithShape="0">
                  <a:prstClr val="black">
                    <a:alpha val="32000"/>
                  </a:prstClr>
                </a:outerShdw>
              </a:effectLst>
            </a:rPr>
            <a:t>PUÑO</a:t>
          </a:r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1855AE-FB66-41EF-BD96-F15133EA0370}" name="TELA" displayName="TELA" ref="B7:E10" totalsRowShown="0" headerRowDxfId="35" headerRowBorderDxfId="34" tableBorderDxfId="33" totalsRowBorderDxfId="32">
  <autoFilter ref="B7:E10" xr:uid="{9D1855AE-FB66-41EF-BD96-F15133EA0370}"/>
  <tableColumns count="4">
    <tableColumn id="1" xr3:uid="{C67E92E8-D808-4F4F-BD26-9041218EE4A5}" name="CODIGO  CLIENTE                                       (AIRMAN)" dataDxfId="31">
      <calculatedColumnFormula>IFERROR(VLOOKUP(TELA[[#This Row],[DESCRIPCION CORTA]],'BASE DATOS'!A:B,2,0),"")</calculatedColumnFormula>
    </tableColumn>
    <tableColumn id="2" xr3:uid="{B1F6A13A-2F62-4106-B7E9-AD6B1C2FE839}" name="DESCRIPCION CORTA" dataDxfId="30"/>
    <tableColumn id="3" xr3:uid="{159CF4FC-38C8-444C-BD8E-1F929947A339}" name="U. MED" dataDxfId="29">
      <calculatedColumnFormula>IFERROR(VLOOKUP(TELA[[#This Row],[DESCRIPCION CORTA]],'BASE DATOS'!A:C,3,0),"")</calculatedColumnFormula>
    </tableColumn>
    <tableColumn id="4" xr3:uid="{4F6E89F2-0BB0-4920-9F9D-0E07760FC2D8}" name="CANTIDAD" dataDxfId="28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700D0A5-21D6-4FB6-8016-695DFA95892A}" name="AVIOS" displayName="AVIOS" ref="B13:E19" totalsRowShown="0" headerRowDxfId="27" headerRowBorderDxfId="26" tableBorderDxfId="25" totalsRowBorderDxfId="24">
  <autoFilter ref="B13:E19" xr:uid="{1700D0A5-21D6-4FB6-8016-695DFA95892A}"/>
  <tableColumns count="4">
    <tableColumn id="1" xr3:uid="{5EEB1732-73B5-4FE8-BB16-0E2DF3CB7AD7}" name="CODIGO  CLIENTE                                       (AIRMAN)" dataDxfId="23">
      <calculatedColumnFormula>IFERROR(VLOOKUP(AVIOS[[#This Row],[DESCRIPCION CORTA]],'BASE DATOS'!G:H,2,0),"")</calculatedColumnFormula>
    </tableColumn>
    <tableColumn id="2" xr3:uid="{9C3980EB-9B4D-4E38-B746-662C98709C3D}" name="DESCRIPCION CORTA" dataDxfId="22"/>
    <tableColumn id="3" xr3:uid="{A2E203A5-2C30-4408-861B-E7E7A207293E}" name="U. MED" dataDxfId="21">
      <calculatedColumnFormula>IFERROR(VLOOKUP(AVIOS[[#This Row],[DESCRIPCION CORTA]],'BASE DATOS'!G:I,3,0),"")</calculatedColumnFormula>
    </tableColumn>
    <tableColumn id="4" xr3:uid="{9541DA5D-4571-4CB5-858D-7B5B83D99D06}" name="CANTIDAD" dataDxfId="2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4400C8F-1DDF-4CDB-AD57-CB5207C91A68}" name="REPORTE" displayName="REPORTE" ref="B2:I10" totalsRowShown="0" headerRowDxfId="19">
  <autoFilter ref="B2:I10" xr:uid="{D4400C8F-1DDF-4CDB-AD57-CB5207C91A68}"/>
  <tableColumns count="8">
    <tableColumn id="1" xr3:uid="{706BB012-C710-4BA7-8632-C0307C314255}" name="FECHA"/>
    <tableColumn id="8" xr3:uid="{AD3C443A-361A-4A57-AF6F-412E0B30E2AF}" name="OP"/>
    <tableColumn id="2" xr3:uid="{DB3B4DC9-7D2C-4FA2-9824-3CC4FED3F995}" name="CODIGO CLIENTE (AIRMAN)"/>
    <tableColumn id="3" xr3:uid="{76F53FDA-F4FF-40A3-A270-6BAE1C22E805}" name="CATEGORIA" dataDxfId="18">
      <calculatedColumnFormula>IFERROR(VLOOKUP(REPORTE[[#This Row],[CODIGO CLIENTE (AIRMAN)]],'BASE DATOS'!L:N,3,0),"")</calculatedColumnFormula>
    </tableColumn>
    <tableColumn id="4" xr3:uid="{A72AFD9E-F141-49CC-9EA6-D716014C7104}" name="U. MED" dataDxfId="17">
      <calculatedColumnFormula>IFERROR(VLOOKUP(REPORTE[[#This Row],[CODIGO CLIENTE (AIRMAN)]],'BASE DATOS'!L:N,2,0),"")</calculatedColumnFormula>
    </tableColumn>
    <tableColumn id="5" xr3:uid="{9D9B7375-548D-487F-88D4-B29BCA6197FE}" name="CANTIDAD"/>
    <tableColumn id="6" xr3:uid="{20F99A53-066B-4B40-946C-E4301FA3257F}" name="PROCESO" dataDxfId="16"/>
    <tableColumn id="7" xr3:uid="{F5E3216A-C93D-494B-81AD-9B03AA356BA9}" name="SALIDA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0B8E19-0E90-4468-8DA1-8480BF8636CA}" name="TELAAIR" displayName="TELAAIR" ref="A1:E73" totalsRowShown="0" headerRowDxfId="15" dataDxfId="14">
  <autoFilter ref="A1:E73" xr:uid="{950B8E19-0E90-4468-8DA1-8480BF8636CA}"/>
  <tableColumns count="5">
    <tableColumn id="1" xr3:uid="{9F31DA91-A374-47E0-8E6A-82C434AB1C2A}" name="Descripcion Corta" dataDxfId="13"/>
    <tableColumn id="2" xr3:uid="{1065CA88-888F-499F-BEAF-1679E74A1B32}" name="Codigo" dataDxfId="12"/>
    <tableColumn id="3" xr3:uid="{64475766-00D3-49B3-BD43-896DC5637B15}" name="U. MED" dataDxfId="11"/>
    <tableColumn id="4" xr3:uid="{D6B7C006-E9B8-450E-96DC-72EAADB77C14}" name="CAT" dataDxfId="10"/>
    <tableColumn id="5" xr3:uid="{D3E53056-7E9B-448B-A092-A7EA9F69B09A}" name="Modelo" dataDxfId="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E13B69B-E2E4-4F98-B63C-E76E76F3B62D}" name="AVIOSAIR" displayName="AVIOSAIR" ref="G1:J46" totalsRowShown="0" headerRowDxfId="8" dataDxfId="7">
  <autoFilter ref="G1:J46" xr:uid="{8E13B69B-E2E4-4F98-B63C-E76E76F3B62D}"/>
  <tableColumns count="4">
    <tableColumn id="1" xr3:uid="{57F8BBDC-C2CF-4F13-AD99-AB04F96C9F72}" name="Descripcion Corta" dataDxfId="6"/>
    <tableColumn id="2" xr3:uid="{F03F6452-F984-410E-AFEC-3B4500D8EC38}" name="Codigo" dataDxfId="5"/>
    <tableColumn id="3" xr3:uid="{8413E2B6-67B2-414B-B512-D651D29C1748}" name="U. MED" dataDxfId="4"/>
    <tableColumn id="4" xr3:uid="{7BDEFB1C-63E5-4FF4-860C-9FA14DA3FE16}" name="CAT" dataDxfId="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12EBD70-9457-4893-96A2-4F8DA82E3F34}" name="CATEGORIA" displayName="CATEGORIA" ref="L1:N111" totalsRowShown="0">
  <autoFilter ref="L1:N111" xr:uid="{212EBD70-9457-4893-96A2-4F8DA82E3F34}"/>
  <tableColumns count="3">
    <tableColumn id="1" xr3:uid="{3FBDFB73-B91F-4F63-8D12-499239CFF3F4}" name="Codigo" dataDxfId="2"/>
    <tableColumn id="2" xr3:uid="{119144ED-1C08-450F-ABB1-826E308AA3FA}" name="U. MED" dataDxfId="1"/>
    <tableColumn id="3" xr3:uid="{34DF14B1-9332-45C3-881E-C97C90DC9FF1}" name="CA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35CC-8C56-4356-9FEA-ADD1F845F093}">
  <sheetPr codeName="Hoja1"/>
  <dimension ref="A1:E108"/>
  <sheetViews>
    <sheetView showGridLines="0" topLeftCell="A45" workbookViewId="0">
      <selection activeCell="B2" sqref="B2:B46"/>
    </sheetView>
  </sheetViews>
  <sheetFormatPr baseColWidth="10" defaultRowHeight="13.5" x14ac:dyDescent="0.25"/>
  <cols>
    <col min="1" max="1" width="24.85546875" style="1" bestFit="1" customWidth="1"/>
    <col min="2" max="2" width="64.5703125" style="1" bestFit="1" customWidth="1"/>
    <col min="3" max="3" width="9.85546875" style="1" bestFit="1" customWidth="1"/>
    <col min="4" max="4" width="9.85546875" style="1" customWidth="1"/>
    <col min="5" max="5" width="14.7109375" style="1" bestFit="1" customWidth="1"/>
    <col min="6" max="16384" width="11.42578125" style="1"/>
  </cols>
  <sheetData>
    <row r="1" spans="1:5" ht="14.25" thickBot="1" x14ac:dyDescent="0.3">
      <c r="A1" s="4" t="s">
        <v>0</v>
      </c>
      <c r="B1" s="4" t="s">
        <v>1</v>
      </c>
      <c r="C1" s="4" t="s">
        <v>2</v>
      </c>
      <c r="D1" s="4" t="s">
        <v>220</v>
      </c>
      <c r="E1" s="4" t="s">
        <v>217</v>
      </c>
    </row>
    <row r="2" spans="1:5" ht="14.25" thickBot="1" x14ac:dyDescent="0.3">
      <c r="A2" s="2" t="s">
        <v>3</v>
      </c>
      <c r="B2" s="2" t="s">
        <v>4</v>
      </c>
      <c r="C2" s="3">
        <v>62000</v>
      </c>
      <c r="D2" s="3" t="s">
        <v>221</v>
      </c>
      <c r="E2" s="2" t="s">
        <v>218</v>
      </c>
    </row>
    <row r="3" spans="1:5" ht="14.25" thickBot="1" x14ac:dyDescent="0.3">
      <c r="A3" s="2" t="s">
        <v>5</v>
      </c>
      <c r="B3" s="2" t="s">
        <v>6</v>
      </c>
      <c r="C3" s="3">
        <v>50000</v>
      </c>
      <c r="D3" s="3" t="s">
        <v>221</v>
      </c>
      <c r="E3" s="2" t="s">
        <v>218</v>
      </c>
    </row>
    <row r="4" spans="1:5" ht="14.25" thickBot="1" x14ac:dyDescent="0.3">
      <c r="A4" s="2" t="s">
        <v>7</v>
      </c>
      <c r="B4" s="2" t="s">
        <v>8</v>
      </c>
      <c r="C4" s="3">
        <v>41994</v>
      </c>
      <c r="D4" s="3" t="s">
        <v>221</v>
      </c>
      <c r="E4" s="2" t="s">
        <v>218</v>
      </c>
    </row>
    <row r="5" spans="1:5" ht="14.25" thickBot="1" x14ac:dyDescent="0.3">
      <c r="A5" s="2" t="s">
        <v>9</v>
      </c>
      <c r="B5" s="2" t="s">
        <v>10</v>
      </c>
      <c r="C5" s="3">
        <v>4844</v>
      </c>
      <c r="D5" s="3" t="s">
        <v>221</v>
      </c>
      <c r="E5" s="2" t="s">
        <v>218</v>
      </c>
    </row>
    <row r="6" spans="1:5" ht="14.25" thickBot="1" x14ac:dyDescent="0.3">
      <c r="A6" s="2" t="s">
        <v>11</v>
      </c>
      <c r="B6" s="2" t="s">
        <v>12</v>
      </c>
      <c r="C6" s="3">
        <v>6965</v>
      </c>
      <c r="D6" s="3" t="s">
        <v>221</v>
      </c>
      <c r="E6" s="2" t="s">
        <v>218</v>
      </c>
    </row>
    <row r="7" spans="1:5" ht="14.25" thickBot="1" x14ac:dyDescent="0.3">
      <c r="A7" s="2" t="s">
        <v>13</v>
      </c>
      <c r="B7" s="2" t="s">
        <v>14</v>
      </c>
      <c r="C7" s="3">
        <v>58800</v>
      </c>
      <c r="D7" s="3" t="s">
        <v>221</v>
      </c>
      <c r="E7" s="2" t="s">
        <v>218</v>
      </c>
    </row>
    <row r="8" spans="1:5" ht="14.25" thickBot="1" x14ac:dyDescent="0.3">
      <c r="A8" s="2" t="s">
        <v>15</v>
      </c>
      <c r="B8" s="2" t="s">
        <v>16</v>
      </c>
      <c r="C8" s="3">
        <v>27785</v>
      </c>
      <c r="D8" s="3" t="s">
        <v>221</v>
      </c>
      <c r="E8" s="2" t="s">
        <v>218</v>
      </c>
    </row>
    <row r="9" spans="1:5" ht="14.25" thickBot="1" x14ac:dyDescent="0.3">
      <c r="A9" s="2" t="s">
        <v>17</v>
      </c>
      <c r="B9" s="2" t="s">
        <v>18</v>
      </c>
      <c r="C9" s="3">
        <v>70000</v>
      </c>
      <c r="D9" s="3" t="s">
        <v>221</v>
      </c>
      <c r="E9" s="2" t="s">
        <v>218</v>
      </c>
    </row>
    <row r="10" spans="1:5" ht="14.25" thickBot="1" x14ac:dyDescent="0.3">
      <c r="A10" s="2" t="s">
        <v>19</v>
      </c>
      <c r="B10" s="2" t="s">
        <v>20</v>
      </c>
      <c r="C10" s="3">
        <v>21000</v>
      </c>
      <c r="D10" s="3" t="s">
        <v>221</v>
      </c>
      <c r="E10" s="2" t="s">
        <v>218</v>
      </c>
    </row>
    <row r="11" spans="1:5" ht="14.25" thickBot="1" x14ac:dyDescent="0.3">
      <c r="A11" s="2" t="s">
        <v>21</v>
      </c>
      <c r="B11" s="2" t="s">
        <v>22</v>
      </c>
      <c r="C11" s="3">
        <v>6400</v>
      </c>
      <c r="D11" s="3" t="s">
        <v>221</v>
      </c>
      <c r="E11" s="2" t="s">
        <v>218</v>
      </c>
    </row>
    <row r="12" spans="1:5" ht="14.25" thickBot="1" x14ac:dyDescent="0.3">
      <c r="A12" s="2" t="s">
        <v>23</v>
      </c>
      <c r="B12" s="2" t="s">
        <v>24</v>
      </c>
      <c r="C12" s="3">
        <v>2000</v>
      </c>
      <c r="D12" s="3" t="s">
        <v>221</v>
      </c>
      <c r="E12" s="2" t="s">
        <v>218</v>
      </c>
    </row>
    <row r="13" spans="1:5" ht="14.25" thickBot="1" x14ac:dyDescent="0.3">
      <c r="A13" s="2" t="s">
        <v>25</v>
      </c>
      <c r="B13" s="2" t="s">
        <v>26</v>
      </c>
      <c r="C13" s="3">
        <v>180000</v>
      </c>
      <c r="D13" s="3" t="s">
        <v>221</v>
      </c>
      <c r="E13" s="2" t="s">
        <v>218</v>
      </c>
    </row>
    <row r="14" spans="1:5" ht="14.25" thickBot="1" x14ac:dyDescent="0.3">
      <c r="A14" s="2" t="s">
        <v>27</v>
      </c>
      <c r="B14" s="2" t="s">
        <v>28</v>
      </c>
      <c r="C14" s="2">
        <v>10</v>
      </c>
      <c r="D14" s="3" t="s">
        <v>221</v>
      </c>
      <c r="E14" s="2" t="s">
        <v>218</v>
      </c>
    </row>
    <row r="15" spans="1:5" ht="14.25" thickBot="1" x14ac:dyDescent="0.3">
      <c r="A15" s="2" t="s">
        <v>29</v>
      </c>
      <c r="B15" s="2" t="s">
        <v>30</v>
      </c>
      <c r="C15" s="2">
        <v>65</v>
      </c>
      <c r="D15" s="3" t="s">
        <v>221</v>
      </c>
      <c r="E15" s="2" t="s">
        <v>218</v>
      </c>
    </row>
    <row r="16" spans="1:5" ht="14.25" thickBot="1" x14ac:dyDescent="0.3">
      <c r="A16" s="2" t="s">
        <v>31</v>
      </c>
      <c r="B16" s="2" t="s">
        <v>32</v>
      </c>
      <c r="C16" s="2">
        <v>40</v>
      </c>
      <c r="D16" s="3" t="s">
        <v>221</v>
      </c>
      <c r="E16" s="2" t="s">
        <v>218</v>
      </c>
    </row>
    <row r="17" spans="1:5" ht="14.25" thickBot="1" x14ac:dyDescent="0.3">
      <c r="A17" s="2" t="s">
        <v>33</v>
      </c>
      <c r="B17" s="2" t="s">
        <v>34</v>
      </c>
      <c r="C17" s="3">
        <v>6300</v>
      </c>
      <c r="D17" s="3" t="s">
        <v>221</v>
      </c>
      <c r="E17" s="2" t="s">
        <v>218</v>
      </c>
    </row>
    <row r="18" spans="1:5" ht="14.25" thickBot="1" x14ac:dyDescent="0.3">
      <c r="A18" s="2" t="s">
        <v>35</v>
      </c>
      <c r="B18" s="2" t="s">
        <v>36</v>
      </c>
      <c r="C18" s="3">
        <v>6000</v>
      </c>
      <c r="D18" s="3" t="s">
        <v>221</v>
      </c>
      <c r="E18" s="2" t="s">
        <v>218</v>
      </c>
    </row>
    <row r="19" spans="1:5" ht="14.25" thickBot="1" x14ac:dyDescent="0.3">
      <c r="A19" s="2" t="s">
        <v>37</v>
      </c>
      <c r="B19" s="2" t="s">
        <v>38</v>
      </c>
      <c r="C19" s="3">
        <v>7000</v>
      </c>
      <c r="D19" s="3" t="s">
        <v>221</v>
      </c>
      <c r="E19" s="2" t="s">
        <v>218</v>
      </c>
    </row>
    <row r="20" spans="1:5" ht="14.25" thickBot="1" x14ac:dyDescent="0.3">
      <c r="A20" s="2" t="s">
        <v>39</v>
      </c>
      <c r="B20" s="2" t="s">
        <v>40</v>
      </c>
      <c r="C20" s="3">
        <v>3200</v>
      </c>
      <c r="D20" s="3" t="s">
        <v>221</v>
      </c>
      <c r="E20" s="2" t="s">
        <v>218</v>
      </c>
    </row>
    <row r="21" spans="1:5" ht="14.25" thickBot="1" x14ac:dyDescent="0.3">
      <c r="A21" s="2" t="s">
        <v>41</v>
      </c>
      <c r="B21" s="2" t="s">
        <v>42</v>
      </c>
      <c r="C21" s="3">
        <v>8300</v>
      </c>
      <c r="D21" s="3" t="s">
        <v>221</v>
      </c>
      <c r="E21" s="2" t="s">
        <v>218</v>
      </c>
    </row>
    <row r="22" spans="1:5" ht="14.25" thickBot="1" x14ac:dyDescent="0.3">
      <c r="A22" s="2" t="s">
        <v>43</v>
      </c>
      <c r="B22" s="2" t="s">
        <v>44</v>
      </c>
      <c r="C22" s="3">
        <v>8700</v>
      </c>
      <c r="D22" s="3" t="s">
        <v>221</v>
      </c>
      <c r="E22" s="2" t="s">
        <v>218</v>
      </c>
    </row>
    <row r="23" spans="1:5" ht="14.25" thickBot="1" x14ac:dyDescent="0.3">
      <c r="A23" s="2" t="s">
        <v>45</v>
      </c>
      <c r="B23" s="2" t="s">
        <v>46</v>
      </c>
      <c r="C23" s="3">
        <v>8800</v>
      </c>
      <c r="D23" s="3" t="s">
        <v>221</v>
      </c>
      <c r="E23" s="2" t="s">
        <v>218</v>
      </c>
    </row>
    <row r="24" spans="1:5" ht="14.25" thickBot="1" x14ac:dyDescent="0.3">
      <c r="A24" s="2" t="s">
        <v>47</v>
      </c>
      <c r="B24" s="2" t="s">
        <v>48</v>
      </c>
      <c r="C24" s="3">
        <v>1900</v>
      </c>
      <c r="D24" s="3" t="s">
        <v>221</v>
      </c>
      <c r="E24" s="2" t="s">
        <v>218</v>
      </c>
    </row>
    <row r="25" spans="1:5" ht="14.25" thickBot="1" x14ac:dyDescent="0.3">
      <c r="A25" s="2" t="s">
        <v>49</v>
      </c>
      <c r="B25" s="2" t="s">
        <v>50</v>
      </c>
      <c r="C25" s="3">
        <v>2300</v>
      </c>
      <c r="D25" s="3" t="s">
        <v>221</v>
      </c>
      <c r="E25" s="2" t="s">
        <v>218</v>
      </c>
    </row>
    <row r="26" spans="1:5" ht="14.25" thickBot="1" x14ac:dyDescent="0.3">
      <c r="A26" s="2" t="s">
        <v>51</v>
      </c>
      <c r="B26" s="2" t="s">
        <v>52</v>
      </c>
      <c r="C26" s="3">
        <v>4000</v>
      </c>
      <c r="D26" s="3" t="s">
        <v>221</v>
      </c>
      <c r="E26" s="2" t="s">
        <v>218</v>
      </c>
    </row>
    <row r="27" spans="1:5" ht="14.25" thickBot="1" x14ac:dyDescent="0.3">
      <c r="A27" s="2" t="s">
        <v>53</v>
      </c>
      <c r="B27" s="2" t="s">
        <v>54</v>
      </c>
      <c r="C27" s="3">
        <v>4700</v>
      </c>
      <c r="D27" s="3" t="s">
        <v>221</v>
      </c>
      <c r="E27" s="2" t="s">
        <v>218</v>
      </c>
    </row>
    <row r="28" spans="1:5" ht="14.25" thickBot="1" x14ac:dyDescent="0.3">
      <c r="A28" s="2" t="s">
        <v>55</v>
      </c>
      <c r="B28" s="2" t="s">
        <v>56</v>
      </c>
      <c r="C28" s="3">
        <v>10000</v>
      </c>
      <c r="D28" s="3" t="s">
        <v>221</v>
      </c>
      <c r="E28" s="2" t="s">
        <v>218</v>
      </c>
    </row>
    <row r="29" spans="1:5" ht="14.25" thickBot="1" x14ac:dyDescent="0.3">
      <c r="A29" s="2" t="s">
        <v>57</v>
      </c>
      <c r="B29" s="2" t="s">
        <v>58</v>
      </c>
      <c r="C29" s="3">
        <v>9000</v>
      </c>
      <c r="D29" s="3" t="s">
        <v>221</v>
      </c>
      <c r="E29" s="2" t="s">
        <v>218</v>
      </c>
    </row>
    <row r="30" spans="1:5" ht="14.25" thickBot="1" x14ac:dyDescent="0.3">
      <c r="A30" s="2" t="s">
        <v>59</v>
      </c>
      <c r="B30" s="2" t="s">
        <v>60</v>
      </c>
      <c r="C30" s="3">
        <v>15000</v>
      </c>
      <c r="D30" s="3" t="s">
        <v>221</v>
      </c>
      <c r="E30" s="2" t="s">
        <v>218</v>
      </c>
    </row>
    <row r="31" spans="1:5" ht="14.25" thickBot="1" x14ac:dyDescent="0.3">
      <c r="A31" s="2" t="s">
        <v>61</v>
      </c>
      <c r="B31" s="2" t="s">
        <v>62</v>
      </c>
      <c r="C31" s="3">
        <v>69000</v>
      </c>
      <c r="D31" s="3" t="s">
        <v>221</v>
      </c>
      <c r="E31" s="2" t="s">
        <v>218</v>
      </c>
    </row>
    <row r="32" spans="1:5" ht="14.25" thickBot="1" x14ac:dyDescent="0.3">
      <c r="A32" s="2" t="s">
        <v>63</v>
      </c>
      <c r="B32" s="2" t="s">
        <v>64</v>
      </c>
      <c r="C32" s="3">
        <v>68000</v>
      </c>
      <c r="D32" s="3" t="s">
        <v>221</v>
      </c>
      <c r="E32" s="2" t="s">
        <v>218</v>
      </c>
    </row>
    <row r="33" spans="1:5" ht="14.25" thickBot="1" x14ac:dyDescent="0.3">
      <c r="A33" s="2" t="s">
        <v>65</v>
      </c>
      <c r="B33" s="2" t="s">
        <v>66</v>
      </c>
      <c r="C33" s="3">
        <v>70000</v>
      </c>
      <c r="D33" s="3" t="s">
        <v>221</v>
      </c>
      <c r="E33" s="2" t="s">
        <v>218</v>
      </c>
    </row>
    <row r="34" spans="1:5" ht="14.25" thickBot="1" x14ac:dyDescent="0.3">
      <c r="A34" s="2" t="s">
        <v>67</v>
      </c>
      <c r="B34" s="2" t="s">
        <v>68</v>
      </c>
      <c r="C34" s="3">
        <v>1000</v>
      </c>
      <c r="D34" s="3" t="s">
        <v>221</v>
      </c>
      <c r="E34" s="2" t="s">
        <v>218</v>
      </c>
    </row>
    <row r="35" spans="1:5" ht="14.25" thickBot="1" x14ac:dyDescent="0.3">
      <c r="A35" s="2" t="s">
        <v>69</v>
      </c>
      <c r="B35" s="2" t="s">
        <v>70</v>
      </c>
      <c r="C35" s="3">
        <v>9000</v>
      </c>
      <c r="D35" s="3" t="s">
        <v>221</v>
      </c>
      <c r="E35" s="2" t="s">
        <v>218</v>
      </c>
    </row>
    <row r="36" spans="1:5" ht="14.25" thickBot="1" x14ac:dyDescent="0.3">
      <c r="A36" s="2" t="s">
        <v>71</v>
      </c>
      <c r="B36" s="2" t="s">
        <v>72</v>
      </c>
      <c r="C36" s="3">
        <v>9000</v>
      </c>
      <c r="D36" s="3" t="s">
        <v>221</v>
      </c>
      <c r="E36" s="2" t="s">
        <v>218</v>
      </c>
    </row>
    <row r="37" spans="1:5" ht="14.25" thickBot="1" x14ac:dyDescent="0.3">
      <c r="A37" s="2" t="s">
        <v>73</v>
      </c>
      <c r="B37" s="2" t="s">
        <v>74</v>
      </c>
      <c r="C37" s="3">
        <v>9000</v>
      </c>
      <c r="D37" s="3" t="s">
        <v>221</v>
      </c>
      <c r="E37" s="2" t="s">
        <v>218</v>
      </c>
    </row>
    <row r="38" spans="1:5" ht="14.25" thickBot="1" x14ac:dyDescent="0.3">
      <c r="A38" s="2" t="s">
        <v>75</v>
      </c>
      <c r="B38" s="2" t="s">
        <v>76</v>
      </c>
      <c r="C38" s="2">
        <v>150</v>
      </c>
      <c r="D38" s="3" t="s">
        <v>221</v>
      </c>
      <c r="E38" s="2" t="s">
        <v>218</v>
      </c>
    </row>
    <row r="39" spans="1:5" ht="14.25" thickBot="1" x14ac:dyDescent="0.3">
      <c r="A39" s="2" t="s">
        <v>77</v>
      </c>
      <c r="B39" s="2" t="s">
        <v>78</v>
      </c>
      <c r="C39" s="3">
        <v>37500</v>
      </c>
      <c r="D39" s="3" t="s">
        <v>221</v>
      </c>
      <c r="E39" s="2" t="s">
        <v>218</v>
      </c>
    </row>
    <row r="40" spans="1:5" ht="14.25" thickBot="1" x14ac:dyDescent="0.3">
      <c r="A40" s="2" t="s">
        <v>79</v>
      </c>
      <c r="B40" s="2" t="s">
        <v>80</v>
      </c>
      <c r="C40" s="3">
        <v>25500</v>
      </c>
      <c r="D40" s="3" t="s">
        <v>221</v>
      </c>
      <c r="E40" s="2" t="s">
        <v>218</v>
      </c>
    </row>
    <row r="41" spans="1:5" ht="14.25" thickBot="1" x14ac:dyDescent="0.3">
      <c r="A41" s="2" t="s">
        <v>81</v>
      </c>
      <c r="B41" s="2" t="s">
        <v>82</v>
      </c>
      <c r="C41" s="3">
        <v>8000</v>
      </c>
      <c r="D41" s="3" t="s">
        <v>221</v>
      </c>
      <c r="E41" s="2" t="s">
        <v>218</v>
      </c>
    </row>
    <row r="42" spans="1:5" ht="14.25" thickBot="1" x14ac:dyDescent="0.3">
      <c r="A42" s="2" t="s">
        <v>83</v>
      </c>
      <c r="B42" s="2" t="s">
        <v>84</v>
      </c>
      <c r="C42" s="3">
        <v>8800</v>
      </c>
      <c r="D42" s="3" t="s">
        <v>221</v>
      </c>
      <c r="E42" s="2" t="s">
        <v>218</v>
      </c>
    </row>
    <row r="43" spans="1:5" ht="14.25" thickBot="1" x14ac:dyDescent="0.3">
      <c r="A43" s="2" t="s">
        <v>85</v>
      </c>
      <c r="B43" s="2" t="s">
        <v>86</v>
      </c>
      <c r="C43" s="3">
        <v>6400</v>
      </c>
      <c r="D43" s="3" t="s">
        <v>221</v>
      </c>
      <c r="E43" s="2" t="s">
        <v>218</v>
      </c>
    </row>
    <row r="44" spans="1:5" ht="14.25" thickBot="1" x14ac:dyDescent="0.3">
      <c r="A44" s="2" t="s">
        <v>87</v>
      </c>
      <c r="B44" s="2" t="s">
        <v>88</v>
      </c>
      <c r="C44" s="3">
        <v>12674</v>
      </c>
      <c r="D44" s="3" t="s">
        <v>221</v>
      </c>
      <c r="E44" s="2" t="s">
        <v>218</v>
      </c>
    </row>
    <row r="45" spans="1:5" ht="14.25" thickBot="1" x14ac:dyDescent="0.3">
      <c r="A45" s="2" t="s">
        <v>89</v>
      </c>
      <c r="B45" s="2" t="s">
        <v>90</v>
      </c>
      <c r="C45" s="3">
        <v>12695</v>
      </c>
      <c r="D45" s="3" t="s">
        <v>221</v>
      </c>
      <c r="E45" s="2" t="s">
        <v>218</v>
      </c>
    </row>
    <row r="46" spans="1:5" ht="14.25" thickBot="1" x14ac:dyDescent="0.3">
      <c r="A46" s="2" t="s">
        <v>91</v>
      </c>
      <c r="B46" s="2" t="s">
        <v>92</v>
      </c>
      <c r="C46" s="3">
        <v>3000</v>
      </c>
      <c r="D46" s="3" t="s">
        <v>221</v>
      </c>
      <c r="E46" s="2" t="s">
        <v>218</v>
      </c>
    </row>
    <row r="47" spans="1:5" ht="14.25" thickBot="1" x14ac:dyDescent="0.3">
      <c r="A47" s="2" t="s">
        <v>93</v>
      </c>
      <c r="B47" s="2" t="s">
        <v>94</v>
      </c>
      <c r="C47" s="3">
        <v>1076.5</v>
      </c>
      <c r="D47" s="3" t="s">
        <v>222</v>
      </c>
      <c r="E47" s="2" t="s">
        <v>219</v>
      </c>
    </row>
    <row r="48" spans="1:5" ht="14.25" thickBot="1" x14ac:dyDescent="0.3">
      <c r="A48" s="2" t="s">
        <v>95</v>
      </c>
      <c r="B48" s="2" t="s">
        <v>96</v>
      </c>
      <c r="C48" s="2">
        <v>69.95</v>
      </c>
      <c r="D48" s="3" t="s">
        <v>222</v>
      </c>
      <c r="E48" s="2" t="s">
        <v>219</v>
      </c>
    </row>
    <row r="49" spans="1:5" ht="14.25" thickBot="1" x14ac:dyDescent="0.3">
      <c r="A49" s="2" t="s">
        <v>97</v>
      </c>
      <c r="B49" s="2" t="s">
        <v>98</v>
      </c>
      <c r="C49" s="3">
        <v>6516.35</v>
      </c>
      <c r="D49" s="3" t="s">
        <v>222</v>
      </c>
      <c r="E49" s="2" t="s">
        <v>219</v>
      </c>
    </row>
    <row r="50" spans="1:5" ht="14.25" thickBot="1" x14ac:dyDescent="0.3">
      <c r="A50" s="2" t="s">
        <v>99</v>
      </c>
      <c r="B50" s="2" t="s">
        <v>100</v>
      </c>
      <c r="C50" s="2">
        <v>705.9</v>
      </c>
      <c r="D50" s="3" t="s">
        <v>222</v>
      </c>
      <c r="E50" s="2" t="s">
        <v>219</v>
      </c>
    </row>
    <row r="51" spans="1:5" ht="14.25" thickBot="1" x14ac:dyDescent="0.3">
      <c r="A51" s="2" t="s">
        <v>101</v>
      </c>
      <c r="B51" s="2" t="s">
        <v>102</v>
      </c>
      <c r="C51" s="3">
        <v>1031.95</v>
      </c>
      <c r="D51" s="3" t="s">
        <v>222</v>
      </c>
      <c r="E51" s="2" t="s">
        <v>219</v>
      </c>
    </row>
    <row r="52" spans="1:5" ht="14.25" thickBot="1" x14ac:dyDescent="0.3">
      <c r="A52" s="2" t="s">
        <v>103</v>
      </c>
      <c r="B52" s="2" t="s">
        <v>104</v>
      </c>
      <c r="C52" s="3">
        <v>1012.5</v>
      </c>
      <c r="D52" s="3" t="s">
        <v>222</v>
      </c>
      <c r="E52" s="2" t="s">
        <v>219</v>
      </c>
    </row>
    <row r="53" spans="1:5" ht="14.25" thickBot="1" x14ac:dyDescent="0.3">
      <c r="A53" s="2" t="s">
        <v>105</v>
      </c>
      <c r="B53" s="2" t="s">
        <v>106</v>
      </c>
      <c r="C53" s="2">
        <v>467.05</v>
      </c>
      <c r="D53" s="3" t="s">
        <v>222</v>
      </c>
      <c r="E53" s="2" t="s">
        <v>219</v>
      </c>
    </row>
    <row r="54" spans="1:5" ht="14.25" thickBot="1" x14ac:dyDescent="0.3">
      <c r="A54" s="2" t="s">
        <v>107</v>
      </c>
      <c r="B54" s="2" t="s">
        <v>108</v>
      </c>
      <c r="C54" s="2">
        <v>875</v>
      </c>
      <c r="D54" s="3" t="s">
        <v>222</v>
      </c>
      <c r="E54" s="2" t="s">
        <v>219</v>
      </c>
    </row>
    <row r="55" spans="1:5" ht="14.25" thickBot="1" x14ac:dyDescent="0.3">
      <c r="A55" s="2" t="s">
        <v>109</v>
      </c>
      <c r="B55" s="2" t="s">
        <v>110</v>
      </c>
      <c r="C55" s="3">
        <v>1092</v>
      </c>
      <c r="D55" s="3" t="s">
        <v>222</v>
      </c>
      <c r="E55" s="2" t="s">
        <v>219</v>
      </c>
    </row>
    <row r="56" spans="1:5" ht="14.25" thickBot="1" x14ac:dyDescent="0.3">
      <c r="A56" s="2" t="s">
        <v>111</v>
      </c>
      <c r="B56" s="2" t="s">
        <v>112</v>
      </c>
      <c r="C56" s="3">
        <v>1711</v>
      </c>
      <c r="D56" s="3" t="s">
        <v>222</v>
      </c>
      <c r="E56" s="2" t="s">
        <v>219</v>
      </c>
    </row>
    <row r="57" spans="1:5" ht="14.25" thickBot="1" x14ac:dyDescent="0.3">
      <c r="A57" s="2" t="s">
        <v>113</v>
      </c>
      <c r="B57" s="2" t="s">
        <v>114</v>
      </c>
      <c r="C57" s="3">
        <v>3297</v>
      </c>
      <c r="D57" s="3" t="s">
        <v>222</v>
      </c>
      <c r="E57" s="2" t="s">
        <v>219</v>
      </c>
    </row>
    <row r="58" spans="1:5" ht="14.25" thickBot="1" x14ac:dyDescent="0.3">
      <c r="A58" s="2" t="s">
        <v>115</v>
      </c>
      <c r="B58" s="2" t="s">
        <v>116</v>
      </c>
      <c r="C58" s="3">
        <v>1302</v>
      </c>
      <c r="D58" s="3" t="s">
        <v>222</v>
      </c>
      <c r="E58" s="2" t="s">
        <v>219</v>
      </c>
    </row>
    <row r="59" spans="1:5" ht="14.25" thickBot="1" x14ac:dyDescent="0.3">
      <c r="A59" s="2" t="s">
        <v>117</v>
      </c>
      <c r="B59" s="2" t="s">
        <v>118</v>
      </c>
      <c r="C59" s="3">
        <v>1665</v>
      </c>
      <c r="D59" s="3" t="s">
        <v>222</v>
      </c>
      <c r="E59" s="2" t="s">
        <v>219</v>
      </c>
    </row>
    <row r="60" spans="1:5" ht="14.25" thickBot="1" x14ac:dyDescent="0.3">
      <c r="A60" s="2" t="s">
        <v>119</v>
      </c>
      <c r="B60" s="2" t="s">
        <v>120</v>
      </c>
      <c r="C60" s="2">
        <v>291.05</v>
      </c>
      <c r="D60" s="3" t="s">
        <v>222</v>
      </c>
      <c r="E60" s="2" t="s">
        <v>219</v>
      </c>
    </row>
    <row r="61" spans="1:5" ht="14.25" thickBot="1" x14ac:dyDescent="0.3">
      <c r="A61" s="2" t="s">
        <v>121</v>
      </c>
      <c r="B61" s="2" t="s">
        <v>122</v>
      </c>
      <c r="C61" s="2">
        <v>375.5</v>
      </c>
      <c r="D61" s="3" t="s">
        <v>222</v>
      </c>
      <c r="E61" s="2" t="s">
        <v>219</v>
      </c>
    </row>
    <row r="62" spans="1:5" ht="14.25" thickBot="1" x14ac:dyDescent="0.3">
      <c r="A62" s="2" t="s">
        <v>123</v>
      </c>
      <c r="B62" s="2" t="s">
        <v>124</v>
      </c>
      <c r="C62" s="2">
        <v>51</v>
      </c>
      <c r="D62" s="3" t="s">
        <v>222</v>
      </c>
      <c r="E62" s="2" t="s">
        <v>219</v>
      </c>
    </row>
    <row r="63" spans="1:5" ht="14.25" thickBot="1" x14ac:dyDescent="0.3">
      <c r="A63" s="2" t="s">
        <v>125</v>
      </c>
      <c r="B63" s="2" t="s">
        <v>126</v>
      </c>
      <c r="C63" s="2">
        <v>299.45</v>
      </c>
      <c r="D63" s="3" t="s">
        <v>222</v>
      </c>
      <c r="E63" s="2" t="s">
        <v>219</v>
      </c>
    </row>
    <row r="64" spans="1:5" ht="14.25" thickBot="1" x14ac:dyDescent="0.3">
      <c r="A64" s="2" t="s">
        <v>127</v>
      </c>
      <c r="B64" s="2" t="s">
        <v>128</v>
      </c>
      <c r="C64" s="3">
        <v>1426</v>
      </c>
      <c r="D64" s="3" t="s">
        <v>222</v>
      </c>
      <c r="E64" s="2" t="s">
        <v>219</v>
      </c>
    </row>
    <row r="65" spans="1:5" ht="14.25" thickBot="1" x14ac:dyDescent="0.3">
      <c r="A65" s="2" t="s">
        <v>129</v>
      </c>
      <c r="B65" s="2" t="s">
        <v>130</v>
      </c>
      <c r="C65" s="2">
        <v>173.9</v>
      </c>
      <c r="D65" s="3" t="s">
        <v>222</v>
      </c>
      <c r="E65" s="2" t="s">
        <v>219</v>
      </c>
    </row>
    <row r="66" spans="1:5" ht="14.25" thickBot="1" x14ac:dyDescent="0.3">
      <c r="A66" s="2" t="s">
        <v>131</v>
      </c>
      <c r="B66" s="2" t="s">
        <v>132</v>
      </c>
      <c r="C66" s="2">
        <v>414.25</v>
      </c>
      <c r="D66" s="3" t="s">
        <v>222</v>
      </c>
      <c r="E66" s="2" t="s">
        <v>219</v>
      </c>
    </row>
    <row r="67" spans="1:5" ht="14.25" thickBot="1" x14ac:dyDescent="0.3">
      <c r="A67" s="2" t="s">
        <v>133</v>
      </c>
      <c r="B67" s="2" t="s">
        <v>134</v>
      </c>
      <c r="C67" s="2">
        <v>65.05</v>
      </c>
      <c r="D67" s="3" t="s">
        <v>222</v>
      </c>
      <c r="E67" s="2" t="s">
        <v>219</v>
      </c>
    </row>
    <row r="68" spans="1:5" ht="14.25" thickBot="1" x14ac:dyDescent="0.3">
      <c r="A68" s="2" t="s">
        <v>135</v>
      </c>
      <c r="B68" s="2" t="s">
        <v>136</v>
      </c>
      <c r="C68" s="2">
        <v>437.75</v>
      </c>
      <c r="D68" s="3" t="s">
        <v>222</v>
      </c>
      <c r="E68" s="2" t="s">
        <v>219</v>
      </c>
    </row>
    <row r="69" spans="1:5" ht="14.25" thickBot="1" x14ac:dyDescent="0.3">
      <c r="A69" s="2" t="s">
        <v>137</v>
      </c>
      <c r="B69" s="2" t="s">
        <v>138</v>
      </c>
      <c r="C69" s="2">
        <v>607.5</v>
      </c>
      <c r="D69" s="3" t="s">
        <v>222</v>
      </c>
      <c r="E69" s="2" t="s">
        <v>219</v>
      </c>
    </row>
    <row r="70" spans="1:5" ht="14.25" thickBot="1" x14ac:dyDescent="0.3">
      <c r="A70" s="2" t="s">
        <v>139</v>
      </c>
      <c r="B70" s="2" t="s">
        <v>140</v>
      </c>
      <c r="C70" s="2">
        <v>500.4</v>
      </c>
      <c r="D70" s="3" t="s">
        <v>222</v>
      </c>
      <c r="E70" s="2" t="s">
        <v>219</v>
      </c>
    </row>
    <row r="71" spans="1:5" ht="14.25" thickBot="1" x14ac:dyDescent="0.3">
      <c r="A71" s="2" t="s">
        <v>141</v>
      </c>
      <c r="B71" s="2" t="s">
        <v>142</v>
      </c>
      <c r="C71" s="2">
        <v>595.5</v>
      </c>
      <c r="D71" s="3" t="s">
        <v>222</v>
      </c>
      <c r="E71" s="2" t="s">
        <v>219</v>
      </c>
    </row>
    <row r="72" spans="1:5" ht="14.25" thickBot="1" x14ac:dyDescent="0.3">
      <c r="A72" s="2" t="s">
        <v>143</v>
      </c>
      <c r="B72" s="2" t="s">
        <v>144</v>
      </c>
      <c r="C72" s="2">
        <v>281.06</v>
      </c>
      <c r="D72" s="3" t="s">
        <v>222</v>
      </c>
      <c r="E72" s="2" t="s">
        <v>219</v>
      </c>
    </row>
    <row r="73" spans="1:5" ht="14.25" thickBot="1" x14ac:dyDescent="0.3">
      <c r="A73" s="2" t="s">
        <v>145</v>
      </c>
      <c r="B73" s="2" t="s">
        <v>146</v>
      </c>
      <c r="C73" s="2">
        <v>773.5</v>
      </c>
      <c r="D73" s="3" t="s">
        <v>222</v>
      </c>
      <c r="E73" s="2" t="s">
        <v>219</v>
      </c>
    </row>
    <row r="74" spans="1:5" ht="14.25" thickBot="1" x14ac:dyDescent="0.3">
      <c r="A74" s="2" t="s">
        <v>147</v>
      </c>
      <c r="B74" s="2" t="s">
        <v>148</v>
      </c>
      <c r="C74" s="2">
        <v>188.15</v>
      </c>
      <c r="D74" s="3" t="s">
        <v>222</v>
      </c>
      <c r="E74" s="2" t="s">
        <v>219</v>
      </c>
    </row>
    <row r="75" spans="1:5" ht="14.25" thickBot="1" x14ac:dyDescent="0.3">
      <c r="A75" s="2" t="s">
        <v>149</v>
      </c>
      <c r="B75" s="2" t="s">
        <v>150</v>
      </c>
      <c r="C75" s="3">
        <v>1887.9</v>
      </c>
      <c r="D75" s="3" t="s">
        <v>222</v>
      </c>
      <c r="E75" s="2" t="s">
        <v>219</v>
      </c>
    </row>
    <row r="76" spans="1:5" ht="14.25" thickBot="1" x14ac:dyDescent="0.3">
      <c r="A76" s="2" t="s">
        <v>151</v>
      </c>
      <c r="B76" s="2" t="s">
        <v>152</v>
      </c>
      <c r="C76" s="2">
        <v>84.45</v>
      </c>
      <c r="D76" s="3" t="s">
        <v>222</v>
      </c>
      <c r="E76" s="2" t="s">
        <v>219</v>
      </c>
    </row>
    <row r="77" spans="1:5" ht="14.25" thickBot="1" x14ac:dyDescent="0.3">
      <c r="A77" s="2" t="s">
        <v>153</v>
      </c>
      <c r="B77" s="2" t="s">
        <v>154</v>
      </c>
      <c r="C77" s="2">
        <v>81.900000000000006</v>
      </c>
      <c r="D77" s="3" t="s">
        <v>222</v>
      </c>
      <c r="E77" s="2" t="s">
        <v>219</v>
      </c>
    </row>
    <row r="78" spans="1:5" ht="14.25" thickBot="1" x14ac:dyDescent="0.3">
      <c r="A78" s="2" t="s">
        <v>155</v>
      </c>
      <c r="B78" s="2" t="s">
        <v>156</v>
      </c>
      <c r="C78" s="2">
        <v>375.01</v>
      </c>
      <c r="D78" s="3" t="s">
        <v>222</v>
      </c>
      <c r="E78" s="2" t="s">
        <v>219</v>
      </c>
    </row>
    <row r="79" spans="1:5" ht="14.25" thickBot="1" x14ac:dyDescent="0.3">
      <c r="A79" s="2" t="s">
        <v>157</v>
      </c>
      <c r="B79" s="2" t="s">
        <v>158</v>
      </c>
      <c r="C79" s="2">
        <v>655.26</v>
      </c>
      <c r="D79" s="3" t="s">
        <v>222</v>
      </c>
      <c r="E79" s="2" t="s">
        <v>219</v>
      </c>
    </row>
    <row r="80" spans="1:5" ht="14.25" thickBot="1" x14ac:dyDescent="0.3">
      <c r="A80" s="2" t="s">
        <v>159</v>
      </c>
      <c r="B80" s="2" t="s">
        <v>160</v>
      </c>
      <c r="C80" s="2">
        <v>95.35</v>
      </c>
      <c r="D80" s="3" t="s">
        <v>222</v>
      </c>
      <c r="E80" s="2" t="s">
        <v>219</v>
      </c>
    </row>
    <row r="81" spans="1:5" ht="14.25" thickBot="1" x14ac:dyDescent="0.3">
      <c r="A81" s="2" t="s">
        <v>161</v>
      </c>
      <c r="B81" s="2" t="s">
        <v>162</v>
      </c>
      <c r="C81" s="2">
        <v>26.32</v>
      </c>
      <c r="D81" s="3" t="s">
        <v>222</v>
      </c>
      <c r="E81" s="2" t="s">
        <v>219</v>
      </c>
    </row>
    <row r="82" spans="1:5" ht="14.25" thickBot="1" x14ac:dyDescent="0.3">
      <c r="A82" s="2" t="s">
        <v>163</v>
      </c>
      <c r="B82" s="2" t="s">
        <v>164</v>
      </c>
      <c r="C82" s="2">
        <v>216.1</v>
      </c>
      <c r="D82" s="3" t="s">
        <v>222</v>
      </c>
      <c r="E82" s="2" t="s">
        <v>219</v>
      </c>
    </row>
    <row r="83" spans="1:5" ht="14.25" thickBot="1" x14ac:dyDescent="0.3">
      <c r="A83" s="2" t="s">
        <v>165</v>
      </c>
      <c r="B83" s="2" t="s">
        <v>166</v>
      </c>
      <c r="C83" s="2">
        <v>13.55</v>
      </c>
      <c r="D83" s="3" t="s">
        <v>222</v>
      </c>
      <c r="E83" s="2" t="s">
        <v>219</v>
      </c>
    </row>
    <row r="84" spans="1:5" ht="14.25" thickBot="1" x14ac:dyDescent="0.3">
      <c r="A84" s="2" t="s">
        <v>167</v>
      </c>
      <c r="B84" s="2" t="s">
        <v>168</v>
      </c>
      <c r="C84" s="2">
        <v>49</v>
      </c>
      <c r="D84" s="3" t="s">
        <v>222</v>
      </c>
      <c r="E84" s="2" t="s">
        <v>219</v>
      </c>
    </row>
    <row r="85" spans="1:5" ht="14.25" thickBot="1" x14ac:dyDescent="0.3">
      <c r="A85" s="2" t="s">
        <v>169</v>
      </c>
      <c r="B85" s="2" t="s">
        <v>170</v>
      </c>
      <c r="C85" s="2">
        <v>253.85</v>
      </c>
      <c r="D85" s="3" t="s">
        <v>222</v>
      </c>
      <c r="E85" s="2" t="s">
        <v>219</v>
      </c>
    </row>
    <row r="86" spans="1:5" ht="14.25" thickBot="1" x14ac:dyDescent="0.3">
      <c r="A86" s="2" t="s">
        <v>171</v>
      </c>
      <c r="B86" s="2" t="s">
        <v>172</v>
      </c>
      <c r="C86" s="2">
        <v>9</v>
      </c>
      <c r="D86" s="3" t="s">
        <v>222</v>
      </c>
      <c r="E86" s="2" t="s">
        <v>219</v>
      </c>
    </row>
    <row r="87" spans="1:5" ht="14.25" thickBot="1" x14ac:dyDescent="0.3">
      <c r="A87" s="2" t="s">
        <v>173</v>
      </c>
      <c r="B87" s="2" t="s">
        <v>174</v>
      </c>
      <c r="C87" s="2">
        <v>344.9</v>
      </c>
      <c r="D87" s="3" t="s">
        <v>222</v>
      </c>
      <c r="E87" s="2" t="s">
        <v>219</v>
      </c>
    </row>
    <row r="88" spans="1:5" ht="14.25" thickBot="1" x14ac:dyDescent="0.3">
      <c r="A88" s="2" t="s">
        <v>175</v>
      </c>
      <c r="B88" s="2" t="s">
        <v>176</v>
      </c>
      <c r="C88" s="2">
        <v>181.56</v>
      </c>
      <c r="D88" s="3" t="s">
        <v>222</v>
      </c>
      <c r="E88" s="2" t="s">
        <v>219</v>
      </c>
    </row>
    <row r="89" spans="1:5" ht="14.25" thickBot="1" x14ac:dyDescent="0.3">
      <c r="A89" s="2" t="s">
        <v>177</v>
      </c>
      <c r="B89" s="2" t="s">
        <v>178</v>
      </c>
      <c r="C89" s="2">
        <v>401.81</v>
      </c>
      <c r="D89" s="3" t="s">
        <v>222</v>
      </c>
      <c r="E89" s="2" t="s">
        <v>219</v>
      </c>
    </row>
    <row r="90" spans="1:5" ht="14.25" thickBot="1" x14ac:dyDescent="0.3">
      <c r="A90" s="2" t="s">
        <v>179</v>
      </c>
      <c r="B90" s="2" t="s">
        <v>180</v>
      </c>
      <c r="C90" s="2">
        <v>29.13</v>
      </c>
      <c r="D90" s="3" t="s">
        <v>222</v>
      </c>
      <c r="E90" s="2" t="s">
        <v>219</v>
      </c>
    </row>
    <row r="91" spans="1:5" ht="14.25" thickBot="1" x14ac:dyDescent="0.3">
      <c r="A91" s="2" t="s">
        <v>181</v>
      </c>
      <c r="B91" s="2" t="s">
        <v>182</v>
      </c>
      <c r="C91" s="2">
        <v>123.11</v>
      </c>
      <c r="D91" s="3" t="s">
        <v>222</v>
      </c>
      <c r="E91" s="2" t="s">
        <v>219</v>
      </c>
    </row>
    <row r="92" spans="1:5" ht="14.25" thickBot="1" x14ac:dyDescent="0.3">
      <c r="A92" s="2" t="s">
        <v>183</v>
      </c>
      <c r="B92" s="2" t="s">
        <v>184</v>
      </c>
      <c r="C92" s="2">
        <v>255.16</v>
      </c>
      <c r="D92" s="3" t="s">
        <v>222</v>
      </c>
      <c r="E92" s="2" t="s">
        <v>219</v>
      </c>
    </row>
    <row r="93" spans="1:5" ht="14.25" thickBot="1" x14ac:dyDescent="0.3">
      <c r="A93" s="2" t="s">
        <v>185</v>
      </c>
      <c r="B93" s="2" t="s">
        <v>186</v>
      </c>
      <c r="C93" s="2">
        <v>160.34</v>
      </c>
      <c r="D93" s="3" t="s">
        <v>222</v>
      </c>
      <c r="E93" s="2" t="s">
        <v>219</v>
      </c>
    </row>
    <row r="94" spans="1:5" ht="14.25" thickBot="1" x14ac:dyDescent="0.3">
      <c r="A94" s="2" t="s">
        <v>187</v>
      </c>
      <c r="B94" s="2" t="s">
        <v>188</v>
      </c>
      <c r="C94" s="2">
        <v>102.4</v>
      </c>
      <c r="D94" s="3" t="s">
        <v>222</v>
      </c>
      <c r="E94" s="2" t="s">
        <v>219</v>
      </c>
    </row>
    <row r="95" spans="1:5" ht="14.25" thickBot="1" x14ac:dyDescent="0.3">
      <c r="A95" s="2" t="s">
        <v>189</v>
      </c>
      <c r="B95" s="2" t="s">
        <v>190</v>
      </c>
      <c r="C95" s="3">
        <v>2640.5</v>
      </c>
      <c r="D95" s="3" t="s">
        <v>222</v>
      </c>
      <c r="E95" s="2" t="s">
        <v>219</v>
      </c>
    </row>
    <row r="96" spans="1:5" ht="14.25" thickBot="1" x14ac:dyDescent="0.3">
      <c r="A96" s="2" t="s">
        <v>191</v>
      </c>
      <c r="B96" s="2" t="s">
        <v>192</v>
      </c>
      <c r="C96" s="2">
        <v>707.56</v>
      </c>
      <c r="D96" s="3" t="s">
        <v>222</v>
      </c>
      <c r="E96" s="2" t="s">
        <v>219</v>
      </c>
    </row>
    <row r="97" spans="1:5" ht="14.25" thickBot="1" x14ac:dyDescent="0.3">
      <c r="A97" s="2" t="s">
        <v>193</v>
      </c>
      <c r="B97" s="2" t="s">
        <v>194</v>
      </c>
      <c r="C97" s="2">
        <v>169.95</v>
      </c>
      <c r="D97" s="3" t="s">
        <v>222</v>
      </c>
      <c r="E97" s="2" t="s">
        <v>219</v>
      </c>
    </row>
    <row r="98" spans="1:5" ht="14.25" thickBot="1" x14ac:dyDescent="0.3">
      <c r="A98" s="2" t="s">
        <v>195</v>
      </c>
      <c r="B98" s="2" t="s">
        <v>196</v>
      </c>
      <c r="C98" s="2">
        <v>95.88</v>
      </c>
      <c r="D98" s="3" t="s">
        <v>222</v>
      </c>
      <c r="E98" s="2" t="s">
        <v>219</v>
      </c>
    </row>
    <row r="99" spans="1:5" ht="14.25" thickBot="1" x14ac:dyDescent="0.3">
      <c r="A99" s="2" t="s">
        <v>197</v>
      </c>
      <c r="B99" s="2" t="s">
        <v>198</v>
      </c>
      <c r="C99" s="2">
        <v>269.75</v>
      </c>
      <c r="D99" s="3" t="s">
        <v>222</v>
      </c>
      <c r="E99" s="2" t="s">
        <v>219</v>
      </c>
    </row>
    <row r="100" spans="1:5" ht="14.25" thickBot="1" x14ac:dyDescent="0.3">
      <c r="A100" s="2" t="s">
        <v>199</v>
      </c>
      <c r="B100" s="2" t="s">
        <v>200</v>
      </c>
      <c r="C100" s="2">
        <v>52.7</v>
      </c>
      <c r="D100" s="3" t="s">
        <v>222</v>
      </c>
      <c r="E100" s="2" t="s">
        <v>219</v>
      </c>
    </row>
    <row r="101" spans="1:5" ht="14.25" thickBot="1" x14ac:dyDescent="0.3">
      <c r="A101" s="2" t="s">
        <v>201</v>
      </c>
      <c r="B101" s="2" t="s">
        <v>202</v>
      </c>
      <c r="C101" s="2">
        <v>197</v>
      </c>
      <c r="D101" s="3" t="s">
        <v>222</v>
      </c>
      <c r="E101" s="2" t="s">
        <v>219</v>
      </c>
    </row>
    <row r="102" spans="1:5" ht="14.25" thickBot="1" x14ac:dyDescent="0.3">
      <c r="A102" s="2" t="s">
        <v>203</v>
      </c>
      <c r="B102" s="2" t="s">
        <v>204</v>
      </c>
      <c r="C102" s="2">
        <v>401.76</v>
      </c>
      <c r="D102" s="3" t="s">
        <v>222</v>
      </c>
      <c r="E102" s="2" t="s">
        <v>219</v>
      </c>
    </row>
    <row r="103" spans="1:5" ht="14.25" thickBot="1" x14ac:dyDescent="0.3">
      <c r="A103" s="2" t="s">
        <v>205</v>
      </c>
      <c r="B103" s="2" t="s">
        <v>206</v>
      </c>
      <c r="C103" s="2">
        <v>79.849999999999994</v>
      </c>
      <c r="D103" s="3" t="s">
        <v>222</v>
      </c>
      <c r="E103" s="2" t="s">
        <v>219</v>
      </c>
    </row>
    <row r="104" spans="1:5" ht="14.25" thickBot="1" x14ac:dyDescent="0.3">
      <c r="A104" s="2" t="s">
        <v>207</v>
      </c>
      <c r="B104" s="2" t="s">
        <v>208</v>
      </c>
      <c r="C104" s="2">
        <v>314.39999999999998</v>
      </c>
      <c r="D104" s="3" t="s">
        <v>222</v>
      </c>
      <c r="E104" s="2" t="s">
        <v>219</v>
      </c>
    </row>
    <row r="105" spans="1:5" ht="14.25" thickBot="1" x14ac:dyDescent="0.3">
      <c r="A105" s="2" t="s">
        <v>209</v>
      </c>
      <c r="B105" s="2" t="s">
        <v>210</v>
      </c>
      <c r="C105" s="2">
        <v>16</v>
      </c>
      <c r="D105" s="3" t="s">
        <v>222</v>
      </c>
      <c r="E105" s="2" t="s">
        <v>219</v>
      </c>
    </row>
    <row r="106" spans="1:5" ht="14.25" thickBot="1" x14ac:dyDescent="0.3">
      <c r="A106" s="2" t="s">
        <v>211</v>
      </c>
      <c r="B106" s="2" t="s">
        <v>212</v>
      </c>
      <c r="C106" s="2">
        <v>211.01</v>
      </c>
      <c r="D106" s="3" t="s">
        <v>222</v>
      </c>
      <c r="E106" s="2" t="s">
        <v>219</v>
      </c>
    </row>
    <row r="107" spans="1:5" ht="14.25" thickBot="1" x14ac:dyDescent="0.3">
      <c r="A107" s="2" t="s">
        <v>213</v>
      </c>
      <c r="B107" s="2" t="s">
        <v>214</v>
      </c>
      <c r="C107" s="2">
        <v>251.96</v>
      </c>
      <c r="D107" s="3" t="s">
        <v>222</v>
      </c>
      <c r="E107" s="2" t="s">
        <v>219</v>
      </c>
    </row>
    <row r="108" spans="1:5" ht="14.25" thickBot="1" x14ac:dyDescent="0.3">
      <c r="A108" s="2" t="s">
        <v>215</v>
      </c>
      <c r="B108" s="2" t="s">
        <v>216</v>
      </c>
      <c r="C108" s="2">
        <v>241.36</v>
      </c>
      <c r="D108" s="3" t="s">
        <v>222</v>
      </c>
      <c r="E108" s="2" t="s">
        <v>219</v>
      </c>
    </row>
  </sheetData>
  <autoFilter ref="A1:C108" xr:uid="{6F4E35CC-8C56-4356-9FEA-ADD1F845F093}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9D04B-C7F2-4514-8291-A3DF154788CA}">
  <sheetPr codeName="Hoja2">
    <tabColor theme="6" tint="0.39997558519241921"/>
  </sheetPr>
  <dimension ref="B1:E23"/>
  <sheetViews>
    <sheetView showGridLines="0" tabSelected="1" zoomScaleNormal="100" workbookViewId="0">
      <selection activeCell="G4" sqref="G4"/>
    </sheetView>
  </sheetViews>
  <sheetFormatPr baseColWidth="10" defaultRowHeight="22.5" customHeight="1" x14ac:dyDescent="0.25"/>
  <cols>
    <col min="1" max="1" width="11.42578125" style="6"/>
    <col min="2" max="2" width="18.7109375" style="6" customWidth="1"/>
    <col min="3" max="3" width="37.28515625" style="6" bestFit="1" customWidth="1"/>
    <col min="4" max="4" width="13.5703125" style="6" bestFit="1" customWidth="1"/>
    <col min="5" max="5" width="17.5703125" style="6" customWidth="1"/>
    <col min="6" max="16384" width="11.42578125" style="6"/>
  </cols>
  <sheetData>
    <row r="1" spans="2:5" ht="22.5" customHeight="1" thickBot="1" x14ac:dyDescent="0.3"/>
    <row r="2" spans="2:5" ht="22.5" customHeight="1" x14ac:dyDescent="0.25">
      <c r="B2" s="43" t="s">
        <v>223</v>
      </c>
      <c r="C2" s="44"/>
      <c r="D2" s="47" t="s">
        <v>314</v>
      </c>
      <c r="E2" s="49" t="str">
        <f>IFERROR(VLOOKUP(B8,'BASE DATOS'!B:G,4,0),"")</f>
        <v/>
      </c>
    </row>
    <row r="3" spans="2:5" ht="22.5" customHeight="1" thickBot="1" x14ac:dyDescent="0.3">
      <c r="B3" s="45"/>
      <c r="C3" s="46"/>
      <c r="D3" s="48"/>
      <c r="E3" s="50"/>
    </row>
    <row r="4" spans="2:5" ht="22.5" customHeight="1" thickBot="1" x14ac:dyDescent="0.3">
      <c r="B4" s="21" t="s">
        <v>298</v>
      </c>
      <c r="C4" s="11"/>
      <c r="D4" s="21" t="s">
        <v>297</v>
      </c>
      <c r="E4" s="14"/>
    </row>
    <row r="5" spans="2:5" ht="16.5" customHeight="1" thickBot="1" x14ac:dyDescent="0.3">
      <c r="B5" s="5"/>
    </row>
    <row r="6" spans="2:5" ht="22.5" customHeight="1" x14ac:dyDescent="0.25">
      <c r="B6" s="40" t="s">
        <v>227</v>
      </c>
      <c r="C6" s="41"/>
      <c r="D6" s="41"/>
      <c r="E6" s="42"/>
    </row>
    <row r="7" spans="2:5" ht="22.5" customHeight="1" x14ac:dyDescent="0.25">
      <c r="B7" s="22" t="s">
        <v>290</v>
      </c>
      <c r="C7" s="23" t="s">
        <v>225</v>
      </c>
      <c r="D7" s="24" t="s">
        <v>256</v>
      </c>
      <c r="E7" s="25" t="s">
        <v>226</v>
      </c>
    </row>
    <row r="8" spans="2:5" ht="22.5" customHeight="1" x14ac:dyDescent="0.25">
      <c r="B8" s="17" t="str">
        <f>IFERROR(VLOOKUP(TELA[[#This Row],[DESCRIPCION CORTA]],'BASE DATOS'!A:B,2,0),"")</f>
        <v/>
      </c>
      <c r="C8" s="8"/>
      <c r="D8" s="18" t="str">
        <f>IFERROR(VLOOKUP(TELA[[#This Row],[DESCRIPCION CORTA]],'BASE DATOS'!A:C,3,0),"")</f>
        <v/>
      </c>
      <c r="E8" s="9"/>
    </row>
    <row r="9" spans="2:5" ht="22.5" customHeight="1" x14ac:dyDescent="0.25">
      <c r="B9" s="17" t="str">
        <f>IFERROR(VLOOKUP(TELA[[#This Row],[DESCRIPCION CORTA]],'BASE DATOS'!A:B,2,0),"")</f>
        <v/>
      </c>
      <c r="C9" s="8"/>
      <c r="D9" s="18" t="str">
        <f>IFERROR(VLOOKUP(TELA[[#This Row],[DESCRIPCION CORTA]],'BASE DATOS'!A:C,3,0),"")</f>
        <v/>
      </c>
      <c r="E9" s="9"/>
    </row>
    <row r="10" spans="2:5" ht="22.5" customHeight="1" x14ac:dyDescent="0.25">
      <c r="B10" s="17" t="str">
        <f>IFERROR(VLOOKUP(TELA[[#This Row],[DESCRIPCION CORTA]],'BASE DATOS'!A:B,2,0),"")</f>
        <v/>
      </c>
      <c r="C10" s="8"/>
      <c r="D10" s="18" t="str">
        <f>IFERROR(VLOOKUP(TELA[[#This Row],[DESCRIPCION CORTA]],'BASE DATOS'!A:C,3,0),"")</f>
        <v/>
      </c>
      <c r="E10" s="9"/>
    </row>
    <row r="11" spans="2:5" ht="16.5" customHeight="1" thickBot="1" x14ac:dyDescent="0.3">
      <c r="B11" s="5"/>
    </row>
    <row r="12" spans="2:5" ht="22.5" customHeight="1" x14ac:dyDescent="0.25">
      <c r="B12" s="40" t="s">
        <v>224</v>
      </c>
      <c r="C12" s="41"/>
      <c r="D12" s="41"/>
      <c r="E12" s="42"/>
    </row>
    <row r="13" spans="2:5" ht="22.5" customHeight="1" x14ac:dyDescent="0.25">
      <c r="B13" s="22" t="s">
        <v>290</v>
      </c>
      <c r="C13" s="23" t="s">
        <v>225</v>
      </c>
      <c r="D13" s="24" t="s">
        <v>256</v>
      </c>
      <c r="E13" s="25" t="s">
        <v>226</v>
      </c>
    </row>
    <row r="14" spans="2:5" ht="22.5" customHeight="1" x14ac:dyDescent="0.25">
      <c r="B14" s="19" t="str">
        <f>IFERROR(VLOOKUP(AVIOS[[#This Row],[DESCRIPCION CORTA]],'BASE DATOS'!G:H,2,0),"")</f>
        <v/>
      </c>
      <c r="C14" s="7"/>
      <c r="D14" s="20" t="str">
        <f>IFERROR(VLOOKUP(AVIOS[[#This Row],[DESCRIPCION CORTA]],'BASE DATOS'!G:I,3,0),"")</f>
        <v/>
      </c>
      <c r="E14" s="10"/>
    </row>
    <row r="15" spans="2:5" ht="22.5" customHeight="1" x14ac:dyDescent="0.25">
      <c r="B15" s="19" t="str">
        <f>IFERROR(VLOOKUP(AVIOS[[#This Row],[DESCRIPCION CORTA]],'BASE DATOS'!G:H,2,0),"")</f>
        <v/>
      </c>
      <c r="C15" s="7"/>
      <c r="D15" s="20" t="str">
        <f>IFERROR(VLOOKUP(AVIOS[[#This Row],[DESCRIPCION CORTA]],'BASE DATOS'!G:I,3,0),"")</f>
        <v/>
      </c>
      <c r="E15" s="10"/>
    </row>
    <row r="16" spans="2:5" ht="22.5" customHeight="1" x14ac:dyDescent="0.25">
      <c r="B16" s="19" t="str">
        <f>IFERROR(VLOOKUP(AVIOS[[#This Row],[DESCRIPCION CORTA]],'BASE DATOS'!G:H,2,0),"")</f>
        <v/>
      </c>
      <c r="C16" s="7"/>
      <c r="D16" s="20" t="str">
        <f>IFERROR(VLOOKUP(AVIOS[[#This Row],[DESCRIPCION CORTA]],'BASE DATOS'!G:I,3,0),"")</f>
        <v/>
      </c>
      <c r="E16" s="10"/>
    </row>
    <row r="17" spans="2:5" ht="22.5" customHeight="1" x14ac:dyDescent="0.25">
      <c r="B17" s="19" t="str">
        <f>IFERROR(VLOOKUP(AVIOS[[#This Row],[DESCRIPCION CORTA]],'BASE DATOS'!G:H,2,0),"")</f>
        <v/>
      </c>
      <c r="C17" s="7"/>
      <c r="D17" s="20" t="str">
        <f>IFERROR(VLOOKUP(AVIOS[[#This Row],[DESCRIPCION CORTA]],'BASE DATOS'!G:I,3,0),"")</f>
        <v/>
      </c>
      <c r="E17" s="10"/>
    </row>
    <row r="18" spans="2:5" ht="22.5" customHeight="1" x14ac:dyDescent="0.25">
      <c r="B18" s="19" t="str">
        <f>IFERROR(VLOOKUP(AVIOS[[#This Row],[DESCRIPCION CORTA]],'BASE DATOS'!G:H,2,0),"")</f>
        <v/>
      </c>
      <c r="C18" s="7"/>
      <c r="D18" s="20" t="str">
        <f>IFERROR(VLOOKUP(AVIOS[[#This Row],[DESCRIPCION CORTA]],'BASE DATOS'!G:I,3,0),"")</f>
        <v/>
      </c>
      <c r="E18" s="10"/>
    </row>
    <row r="19" spans="2:5" ht="22.5" customHeight="1" thickBot="1" x14ac:dyDescent="0.3">
      <c r="B19" s="19" t="str">
        <f>IFERROR(VLOOKUP(AVIOS[[#This Row],[DESCRIPCION CORTA]],'BASE DATOS'!G:H,2,0),"")</f>
        <v/>
      </c>
      <c r="C19" s="8"/>
      <c r="D19" s="20" t="str">
        <f>IFERROR(VLOOKUP(AVIOS[[#This Row],[DESCRIPCION CORTA]],'BASE DATOS'!G:I,3,0),"")</f>
        <v/>
      </c>
      <c r="E19" s="9"/>
    </row>
    <row r="20" spans="2:5" ht="22.5" customHeight="1" x14ac:dyDescent="0.25">
      <c r="B20" s="26"/>
      <c r="C20" s="27"/>
      <c r="D20" s="27"/>
      <c r="E20" s="28"/>
    </row>
    <row r="21" spans="2:5" ht="22.5" customHeight="1" x14ac:dyDescent="0.25">
      <c r="B21" s="29"/>
      <c r="C21" s="30"/>
      <c r="D21" s="30"/>
      <c r="E21" s="31"/>
    </row>
    <row r="22" spans="2:5" ht="22.5" customHeight="1" x14ac:dyDescent="0.25">
      <c r="B22" s="29"/>
      <c r="C22" s="30"/>
      <c r="D22" s="30"/>
      <c r="E22" s="31"/>
    </row>
    <row r="23" spans="2:5" ht="22.5" customHeight="1" thickBot="1" x14ac:dyDescent="0.3">
      <c r="B23" s="32"/>
      <c r="C23" s="33"/>
      <c r="D23" s="33"/>
      <c r="E23" s="34"/>
    </row>
  </sheetData>
  <mergeCells count="5">
    <mergeCell ref="B6:E6"/>
    <mergeCell ref="B12:E12"/>
    <mergeCell ref="B2:C3"/>
    <mergeCell ref="D2:D3"/>
    <mergeCell ref="E2:E3"/>
  </mergeCells>
  <pageMargins left="0.7" right="0.7" top="0.75" bottom="0.75" header="0.3" footer="0.3"/>
  <pageSetup paperSize="256" orientation="portrait" horizontalDpi="203" verticalDpi="203" r:id="rId1"/>
  <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8FEA9AF-89DD-461F-A0C3-8C1EE907F207}">
          <x14:formula1>
            <xm:f>'BASE DATOS'!$G$2:$G$46</xm:f>
          </x14:formula1>
          <xm:sqref>C14:C19</xm:sqref>
        </x14:dataValidation>
        <x14:dataValidation type="list" allowBlank="1" showInputMessage="1" showErrorMessage="1" xr:uid="{204DD1A5-061D-4FFB-97C3-B55FC19C1897}">
          <x14:formula1>
            <xm:f>'BASE DATOS'!$A:$A</xm:f>
          </x14:formula1>
          <xm:sqref>C8:C10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39880-0A49-4C81-B5E8-3E02FC10ABAD}">
  <sheetPr codeName="Hoja3">
    <tabColor theme="5" tint="-0.249977111117893"/>
  </sheetPr>
  <dimension ref="B2:I10"/>
  <sheetViews>
    <sheetView showGridLines="0" workbookViewId="0">
      <selection activeCell="K27" sqref="K27"/>
    </sheetView>
  </sheetViews>
  <sheetFormatPr baseColWidth="10" defaultRowHeight="13.5" x14ac:dyDescent="0.25"/>
  <cols>
    <col min="4" max="4" width="18.5703125" customWidth="1"/>
    <col min="5" max="5" width="16.42578125" customWidth="1"/>
    <col min="6" max="6" width="17.140625" customWidth="1"/>
    <col min="8" max="8" width="15.5703125" customWidth="1"/>
    <col min="9" max="9" width="16.7109375" customWidth="1"/>
  </cols>
  <sheetData>
    <row r="2" spans="2:9" ht="23.25" customHeight="1" x14ac:dyDescent="0.25">
      <c r="B2" s="6" t="s">
        <v>297</v>
      </c>
      <c r="C2" s="6" t="s">
        <v>298</v>
      </c>
      <c r="D2" s="12" t="s">
        <v>296</v>
      </c>
      <c r="E2" s="6" t="s">
        <v>291</v>
      </c>
      <c r="F2" s="6" t="s">
        <v>256</v>
      </c>
      <c r="G2" s="6" t="s">
        <v>226</v>
      </c>
      <c r="H2" s="6" t="s">
        <v>292</v>
      </c>
      <c r="I2" s="6" t="s">
        <v>293</v>
      </c>
    </row>
    <row r="3" spans="2:9" x14ac:dyDescent="0.25">
      <c r="B3" s="13">
        <v>46072</v>
      </c>
      <c r="C3" s="6">
        <v>1508</v>
      </c>
      <c r="D3" s="12" t="s">
        <v>189</v>
      </c>
      <c r="E3" s="6" t="str">
        <f>IFERROR(VLOOKUP(REPORTE[[#This Row],[CODIGO CLIENTE (AIRMAN)]],'BASE DATOS'!L:N,3,0),"")</f>
        <v>TELA</v>
      </c>
      <c r="F3" s="6" t="str">
        <f>IFERROR(VLOOKUP(REPORTE[[#This Row],[CODIGO CLIENTE (AIRMAN)]],'BASE DATOS'!L:N,2,0),"")</f>
        <v>KGS</v>
      </c>
      <c r="G3" s="6">
        <v>500.32</v>
      </c>
      <c r="H3" s="15" t="b">
        <v>1</v>
      </c>
      <c r="I3" s="6"/>
    </row>
    <row r="4" spans="2:9" x14ac:dyDescent="0.25">
      <c r="B4" s="13">
        <v>46072</v>
      </c>
      <c r="C4" s="6">
        <v>1535</v>
      </c>
      <c r="D4" s="12" t="s">
        <v>189</v>
      </c>
      <c r="E4" s="6" t="str">
        <f>IFERROR(VLOOKUP(REPORTE[[#This Row],[CODIGO CLIENTE (AIRMAN)]],'BASE DATOS'!L:N,3,0),"")</f>
        <v>TELA</v>
      </c>
      <c r="F4" s="6" t="str">
        <f>IFERROR(VLOOKUP(REPORTE[[#This Row],[CODIGO CLIENTE (AIRMAN)]],'BASE DATOS'!L:N,2,0),"")</f>
        <v>KGS</v>
      </c>
      <c r="G4" s="6"/>
      <c r="H4" s="15" t="b">
        <v>0</v>
      </c>
      <c r="I4" s="6"/>
    </row>
    <row r="5" spans="2:9" x14ac:dyDescent="0.25">
      <c r="B5" s="13">
        <v>46072</v>
      </c>
      <c r="C5" s="6">
        <v>1535</v>
      </c>
      <c r="D5" s="12" t="s">
        <v>213</v>
      </c>
      <c r="E5" s="6" t="str">
        <f>IFERROR(VLOOKUP(REPORTE[[#This Row],[CODIGO CLIENTE (AIRMAN)]],'BASE DATOS'!L:N,3,0),"")</f>
        <v>TELA</v>
      </c>
      <c r="F5" s="6" t="str">
        <f>IFERROR(VLOOKUP(REPORTE[[#This Row],[CODIGO CLIENTE (AIRMAN)]],'BASE DATOS'!L:N,2,0),"")</f>
        <v>KGS</v>
      </c>
      <c r="G5" s="6"/>
      <c r="H5" s="15" t="b">
        <v>0</v>
      </c>
      <c r="I5" s="6"/>
    </row>
    <row r="6" spans="2:9" x14ac:dyDescent="0.25">
      <c r="B6" s="13">
        <v>46072</v>
      </c>
      <c r="C6" s="6">
        <v>1535</v>
      </c>
      <c r="D6" s="12" t="s">
        <v>215</v>
      </c>
      <c r="E6" s="6" t="str">
        <f>IFERROR(VLOOKUP(REPORTE[[#This Row],[CODIGO CLIENTE (AIRMAN)]],'BASE DATOS'!L:N,3,0),"")</f>
        <v>TELA</v>
      </c>
      <c r="F6" s="6" t="str">
        <f>IFERROR(VLOOKUP(REPORTE[[#This Row],[CODIGO CLIENTE (AIRMAN)]],'BASE DATOS'!L:N,2,0),"")</f>
        <v>KGS</v>
      </c>
      <c r="G6" s="6"/>
      <c r="H6" s="15" t="b">
        <v>0</v>
      </c>
      <c r="I6" s="6"/>
    </row>
    <row r="7" spans="2:9" x14ac:dyDescent="0.25">
      <c r="B7" s="13">
        <v>46072</v>
      </c>
      <c r="C7" s="6">
        <v>1535</v>
      </c>
      <c r="D7" s="12" t="s">
        <v>19</v>
      </c>
      <c r="E7" s="6" t="str">
        <f>IFERROR(VLOOKUP(REPORTE[[#This Row],[CODIGO CLIENTE (AIRMAN)]],'BASE DATOS'!L:N,3,0),"")</f>
        <v>AVIO</v>
      </c>
      <c r="F7" s="6" t="str">
        <f>IFERROR(VLOOKUP(REPORTE[[#This Row],[CODIGO CLIENTE (AIRMAN)]],'BASE DATOS'!L:N,2,0),"")</f>
        <v>Pzas</v>
      </c>
      <c r="G7" s="6"/>
      <c r="H7" s="15" t="b">
        <v>0</v>
      </c>
      <c r="I7" s="6"/>
    </row>
    <row r="8" spans="2:9" x14ac:dyDescent="0.25">
      <c r="B8" s="13">
        <v>46073</v>
      </c>
      <c r="C8" s="6">
        <v>1458</v>
      </c>
      <c r="D8" s="12" t="s">
        <v>129</v>
      </c>
      <c r="E8" s="6" t="str">
        <f>IFERROR(VLOOKUP(REPORTE[[#This Row],[CODIGO CLIENTE (AIRMAN)]],'BASE DATOS'!L:N,3,0),"")</f>
        <v>TELA</v>
      </c>
      <c r="F8" s="6" t="str">
        <f>IFERROR(VLOOKUP(REPORTE[[#This Row],[CODIGO CLIENTE (AIRMAN)]],'BASE DATOS'!L:N,2,0),"")</f>
        <v>KGS</v>
      </c>
      <c r="G8" s="6">
        <v>180.35</v>
      </c>
      <c r="H8" s="15" t="b">
        <v>0</v>
      </c>
      <c r="I8" s="6"/>
    </row>
    <row r="9" spans="2:9" x14ac:dyDescent="0.25">
      <c r="B9" s="13">
        <v>46073</v>
      </c>
      <c r="C9" s="6">
        <v>1458</v>
      </c>
      <c r="D9" s="12" t="s">
        <v>187</v>
      </c>
      <c r="E9" s="6" t="str">
        <f>IFERROR(VLOOKUP(REPORTE[[#This Row],[CODIGO CLIENTE (AIRMAN)]],'BASE DATOS'!L:N,3,0),"")</f>
        <v>TELA</v>
      </c>
      <c r="F9" s="6" t="str">
        <f>IFERROR(VLOOKUP(REPORTE[[#This Row],[CODIGO CLIENTE (AIRMAN)]],'BASE DATOS'!L:N,2,0),"")</f>
        <v>KGS</v>
      </c>
      <c r="G9" s="6">
        <v>180.35</v>
      </c>
      <c r="H9" s="15" t="b">
        <v>0</v>
      </c>
      <c r="I9" s="6"/>
    </row>
    <row r="10" spans="2:9" x14ac:dyDescent="0.25">
      <c r="B10" s="13">
        <v>46073</v>
      </c>
      <c r="C10" s="6">
        <v>1458</v>
      </c>
      <c r="D10" s="12" t="s">
        <v>7</v>
      </c>
      <c r="E10" s="6" t="str">
        <f>IFERROR(VLOOKUP(REPORTE[[#This Row],[CODIGO CLIENTE (AIRMAN)]],'BASE DATOS'!L:N,3,0),"")</f>
        <v>AVIO</v>
      </c>
      <c r="F10" s="6" t="str">
        <f>IFERROR(VLOOKUP(REPORTE[[#This Row],[CODIGO CLIENTE (AIRMAN)]],'BASE DATOS'!L:N,2,0),"")</f>
        <v>Pzas</v>
      </c>
      <c r="G10" s="6">
        <v>450</v>
      </c>
      <c r="H10" s="15" t="b">
        <v>0</v>
      </c>
      <c r="I10" s="6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105BA-6E8B-4E2B-B061-414FF0AA2A91}">
  <sheetPr codeName="Hoja4">
    <tabColor theme="5"/>
  </sheetPr>
  <dimension ref="A1:N111"/>
  <sheetViews>
    <sheetView workbookViewId="0">
      <selection activeCell="G21" sqref="G21"/>
    </sheetView>
  </sheetViews>
  <sheetFormatPr baseColWidth="10" defaultRowHeight="13.5" x14ac:dyDescent="0.25"/>
  <cols>
    <col min="1" max="1" width="34.85546875" bestFit="1" customWidth="1"/>
    <col min="2" max="2" width="11.42578125" style="6" bestFit="1" customWidth="1"/>
    <col min="3" max="3" width="11" style="6" bestFit="1" customWidth="1"/>
    <col min="4" max="4" width="8.5703125" bestFit="1" customWidth="1"/>
    <col min="5" max="5" width="11.5703125" style="6" bestFit="1" customWidth="1"/>
    <col min="6" max="6" width="11.42578125" style="6"/>
    <col min="7" max="7" width="54.42578125" style="6" bestFit="1" customWidth="1"/>
    <col min="8" max="8" width="14.5703125" style="6" bestFit="1" customWidth="1"/>
    <col min="9" max="9" width="11" style="6" bestFit="1" customWidth="1"/>
    <col min="10" max="10" width="8.5703125" style="6" bestFit="1" customWidth="1"/>
    <col min="11" max="11" width="11.42578125" style="6"/>
    <col min="12" max="12" width="14" style="6" bestFit="1" customWidth="1"/>
    <col min="13" max="13" width="8.5703125" style="6" customWidth="1"/>
    <col min="14" max="14" width="14.5703125" style="6" bestFit="1" customWidth="1"/>
    <col min="15" max="16384" width="11.42578125" style="6"/>
  </cols>
  <sheetData>
    <row r="1" spans="1:14" x14ac:dyDescent="0.25">
      <c r="A1" s="6" t="s">
        <v>254</v>
      </c>
      <c r="B1" s="6" t="s">
        <v>255</v>
      </c>
      <c r="C1" s="6" t="s">
        <v>256</v>
      </c>
      <c r="D1" s="6" t="s">
        <v>294</v>
      </c>
      <c r="E1" s="6" t="s">
        <v>308</v>
      </c>
      <c r="G1" s="6" t="s">
        <v>254</v>
      </c>
      <c r="H1" s="6" t="s">
        <v>255</v>
      </c>
      <c r="I1" s="6" t="s">
        <v>256</v>
      </c>
      <c r="J1" s="6" t="s">
        <v>294</v>
      </c>
      <c r="L1" s="16" t="s">
        <v>255</v>
      </c>
      <c r="M1" s="16" t="s">
        <v>256</v>
      </c>
      <c r="N1" s="35" t="s">
        <v>294</v>
      </c>
    </row>
    <row r="2" spans="1:14" x14ac:dyDescent="0.25">
      <c r="A2" s="6" t="s">
        <v>228</v>
      </c>
      <c r="B2" s="6" t="s">
        <v>93</v>
      </c>
      <c r="C2" s="6" t="s">
        <v>257</v>
      </c>
      <c r="D2" s="6" t="s">
        <v>227</v>
      </c>
      <c r="E2" s="6" t="s">
        <v>309</v>
      </c>
      <c r="G2" s="6" t="s">
        <v>258</v>
      </c>
      <c r="H2" s="6" t="s">
        <v>3</v>
      </c>
      <c r="I2" s="6" t="s">
        <v>218</v>
      </c>
      <c r="J2" s="6" t="s">
        <v>295</v>
      </c>
      <c r="L2" s="6" t="s">
        <v>93</v>
      </c>
      <c r="M2" s="6" t="s">
        <v>257</v>
      </c>
      <c r="N2" s="36" t="s">
        <v>227</v>
      </c>
    </row>
    <row r="3" spans="1:14" x14ac:dyDescent="0.25">
      <c r="A3" s="6" t="s">
        <v>229</v>
      </c>
      <c r="B3" s="6" t="s">
        <v>95</v>
      </c>
      <c r="C3" s="6" t="s">
        <v>257</v>
      </c>
      <c r="D3" s="6" t="s">
        <v>227</v>
      </c>
      <c r="E3" s="6" t="s">
        <v>309</v>
      </c>
      <c r="G3" s="6" t="s">
        <v>259</v>
      </c>
      <c r="H3" s="6" t="s">
        <v>5</v>
      </c>
      <c r="I3" s="6" t="s">
        <v>218</v>
      </c>
      <c r="J3" s="6" t="s">
        <v>295</v>
      </c>
      <c r="L3" s="6" t="s">
        <v>95</v>
      </c>
      <c r="M3" s="6" t="s">
        <v>257</v>
      </c>
      <c r="N3" s="37" t="s">
        <v>227</v>
      </c>
    </row>
    <row r="4" spans="1:14" x14ac:dyDescent="0.25">
      <c r="A4" s="6" t="s">
        <v>230</v>
      </c>
      <c r="B4" s="6" t="s">
        <v>97</v>
      </c>
      <c r="C4" s="6" t="s">
        <v>257</v>
      </c>
      <c r="D4" s="6" t="s">
        <v>227</v>
      </c>
      <c r="E4" s="6" t="s">
        <v>309</v>
      </c>
      <c r="G4" s="6" t="s">
        <v>260</v>
      </c>
      <c r="H4" s="6" t="s">
        <v>7</v>
      </c>
      <c r="I4" s="6" t="s">
        <v>218</v>
      </c>
      <c r="J4" s="6" t="s">
        <v>295</v>
      </c>
      <c r="L4" s="6" t="s">
        <v>97</v>
      </c>
      <c r="M4" s="6" t="s">
        <v>257</v>
      </c>
      <c r="N4" s="36" t="s">
        <v>227</v>
      </c>
    </row>
    <row r="5" spans="1:14" x14ac:dyDescent="0.25">
      <c r="A5" s="6" t="s">
        <v>231</v>
      </c>
      <c r="B5" s="6" t="s">
        <v>99</v>
      </c>
      <c r="C5" s="6" t="s">
        <v>257</v>
      </c>
      <c r="D5" s="6" t="s">
        <v>227</v>
      </c>
      <c r="E5" s="6" t="s">
        <v>309</v>
      </c>
      <c r="G5" s="6" t="s">
        <v>261</v>
      </c>
      <c r="H5" s="6" t="s">
        <v>9</v>
      </c>
      <c r="I5" s="6" t="s">
        <v>218</v>
      </c>
      <c r="J5" s="6" t="s">
        <v>295</v>
      </c>
      <c r="L5" s="6" t="s">
        <v>99</v>
      </c>
      <c r="M5" s="6" t="s">
        <v>257</v>
      </c>
      <c r="N5" s="37" t="s">
        <v>227</v>
      </c>
    </row>
    <row r="6" spans="1:14" x14ac:dyDescent="0.25">
      <c r="A6" s="6" t="s">
        <v>305</v>
      </c>
      <c r="B6" s="6" t="s">
        <v>101</v>
      </c>
      <c r="C6" s="6" t="s">
        <v>257</v>
      </c>
      <c r="D6" s="6" t="s">
        <v>227</v>
      </c>
      <c r="E6" s="6" t="s">
        <v>309</v>
      </c>
      <c r="G6" s="6" t="s">
        <v>262</v>
      </c>
      <c r="H6" s="6" t="s">
        <v>11</v>
      </c>
      <c r="I6" s="6" t="s">
        <v>218</v>
      </c>
      <c r="J6" s="6" t="s">
        <v>295</v>
      </c>
      <c r="L6" s="6" t="s">
        <v>101</v>
      </c>
      <c r="M6" s="6" t="s">
        <v>257</v>
      </c>
      <c r="N6" s="36" t="s">
        <v>227</v>
      </c>
    </row>
    <row r="7" spans="1:14" x14ac:dyDescent="0.25">
      <c r="A7" s="6" t="s">
        <v>232</v>
      </c>
      <c r="B7" s="6" t="s">
        <v>103</v>
      </c>
      <c r="C7" s="6" t="s">
        <v>257</v>
      </c>
      <c r="D7" s="6" t="s">
        <v>227</v>
      </c>
      <c r="E7" s="6" t="s">
        <v>309</v>
      </c>
      <c r="G7" s="6" t="s">
        <v>263</v>
      </c>
      <c r="H7" s="6" t="s">
        <v>13</v>
      </c>
      <c r="I7" s="6" t="s">
        <v>218</v>
      </c>
      <c r="J7" s="6" t="s">
        <v>295</v>
      </c>
      <c r="L7" s="6" t="s">
        <v>103</v>
      </c>
      <c r="M7" s="6" t="s">
        <v>257</v>
      </c>
      <c r="N7" s="37" t="s">
        <v>227</v>
      </c>
    </row>
    <row r="8" spans="1:14" x14ac:dyDescent="0.25">
      <c r="A8" s="6" t="s">
        <v>233</v>
      </c>
      <c r="B8" s="6" t="s">
        <v>105</v>
      </c>
      <c r="C8" s="6" t="s">
        <v>257</v>
      </c>
      <c r="D8" s="6" t="s">
        <v>227</v>
      </c>
      <c r="E8" s="6" t="s">
        <v>309</v>
      </c>
      <c r="G8" s="6" t="s">
        <v>264</v>
      </c>
      <c r="H8" s="6" t="s">
        <v>15</v>
      </c>
      <c r="I8" s="6" t="s">
        <v>218</v>
      </c>
      <c r="J8" s="6" t="s">
        <v>295</v>
      </c>
      <c r="L8" s="6" t="s">
        <v>105</v>
      </c>
      <c r="M8" s="6" t="s">
        <v>257</v>
      </c>
      <c r="N8" s="36" t="s">
        <v>227</v>
      </c>
    </row>
    <row r="9" spans="1:14" x14ac:dyDescent="0.25">
      <c r="A9" s="6" t="s">
        <v>306</v>
      </c>
      <c r="B9" s="6" t="s">
        <v>107</v>
      </c>
      <c r="C9" s="6" t="s">
        <v>257</v>
      </c>
      <c r="D9" s="6" t="s">
        <v>227</v>
      </c>
      <c r="E9" s="6" t="s">
        <v>310</v>
      </c>
      <c r="G9" s="6" t="s">
        <v>265</v>
      </c>
      <c r="H9" s="6" t="s">
        <v>17</v>
      </c>
      <c r="I9" s="6" t="s">
        <v>218</v>
      </c>
      <c r="J9" s="6" t="s">
        <v>295</v>
      </c>
      <c r="L9" s="6" t="s">
        <v>107</v>
      </c>
      <c r="M9" s="6" t="s">
        <v>257</v>
      </c>
      <c r="N9" s="37" t="s">
        <v>227</v>
      </c>
    </row>
    <row r="10" spans="1:14" x14ac:dyDescent="0.25">
      <c r="A10" s="6" t="s">
        <v>234</v>
      </c>
      <c r="B10" s="6" t="s">
        <v>109</v>
      </c>
      <c r="C10" s="6" t="s">
        <v>257</v>
      </c>
      <c r="D10" s="6" t="s">
        <v>227</v>
      </c>
      <c r="E10" s="6" t="s">
        <v>310</v>
      </c>
      <c r="G10" s="6" t="s">
        <v>266</v>
      </c>
      <c r="H10" s="6" t="s">
        <v>19</v>
      </c>
      <c r="I10" s="6" t="s">
        <v>218</v>
      </c>
      <c r="J10" s="6" t="s">
        <v>295</v>
      </c>
      <c r="L10" s="6" t="s">
        <v>109</v>
      </c>
      <c r="M10" s="6" t="s">
        <v>257</v>
      </c>
      <c r="N10" s="36" t="s">
        <v>227</v>
      </c>
    </row>
    <row r="11" spans="1:14" x14ac:dyDescent="0.25">
      <c r="A11" s="6" t="s">
        <v>235</v>
      </c>
      <c r="B11" s="6" t="s">
        <v>111</v>
      </c>
      <c r="C11" s="6" t="s">
        <v>257</v>
      </c>
      <c r="D11" s="6" t="s">
        <v>227</v>
      </c>
      <c r="E11" s="6" t="s">
        <v>310</v>
      </c>
      <c r="G11" s="6" t="s">
        <v>22</v>
      </c>
      <c r="H11" s="6" t="s">
        <v>21</v>
      </c>
      <c r="I11" s="6" t="s">
        <v>218</v>
      </c>
      <c r="J11" s="6" t="s">
        <v>295</v>
      </c>
      <c r="L11" s="6" t="s">
        <v>111</v>
      </c>
      <c r="M11" s="6" t="s">
        <v>257</v>
      </c>
      <c r="N11" s="37" t="s">
        <v>227</v>
      </c>
    </row>
    <row r="12" spans="1:14" x14ac:dyDescent="0.25">
      <c r="A12" s="6" t="s">
        <v>236</v>
      </c>
      <c r="B12" s="6" t="s">
        <v>113</v>
      </c>
      <c r="C12" s="6" t="s">
        <v>257</v>
      </c>
      <c r="D12" s="6" t="s">
        <v>227</v>
      </c>
      <c r="E12" s="6" t="s">
        <v>310</v>
      </c>
      <c r="G12" s="6" t="s">
        <v>24</v>
      </c>
      <c r="H12" s="6" t="s">
        <v>23</v>
      </c>
      <c r="I12" s="6" t="s">
        <v>218</v>
      </c>
      <c r="J12" s="6" t="s">
        <v>295</v>
      </c>
      <c r="L12" s="6" t="s">
        <v>113</v>
      </c>
      <c r="M12" s="6" t="s">
        <v>257</v>
      </c>
      <c r="N12" s="36" t="s">
        <v>227</v>
      </c>
    </row>
    <row r="13" spans="1:14" x14ac:dyDescent="0.25">
      <c r="A13" s="6" t="s">
        <v>237</v>
      </c>
      <c r="B13" s="6" t="s">
        <v>115</v>
      </c>
      <c r="C13" s="6" t="s">
        <v>257</v>
      </c>
      <c r="D13" s="6" t="s">
        <v>227</v>
      </c>
      <c r="E13" s="6" t="s">
        <v>310</v>
      </c>
      <c r="G13" s="6" t="s">
        <v>26</v>
      </c>
      <c r="H13" s="6" t="s">
        <v>25</v>
      </c>
      <c r="I13" s="6" t="s">
        <v>218</v>
      </c>
      <c r="J13" s="6" t="s">
        <v>295</v>
      </c>
      <c r="L13" s="6" t="s">
        <v>115</v>
      </c>
      <c r="M13" s="6" t="s">
        <v>257</v>
      </c>
      <c r="N13" s="37" t="s">
        <v>227</v>
      </c>
    </row>
    <row r="14" spans="1:14" x14ac:dyDescent="0.25">
      <c r="A14" s="6" t="s">
        <v>238</v>
      </c>
      <c r="B14" s="6" t="s">
        <v>117</v>
      </c>
      <c r="C14" s="6" t="s">
        <v>257</v>
      </c>
      <c r="D14" s="6" t="s">
        <v>227</v>
      </c>
      <c r="E14" s="6" t="s">
        <v>310</v>
      </c>
      <c r="G14" s="6" t="s">
        <v>28</v>
      </c>
      <c r="H14" s="6" t="s">
        <v>27</v>
      </c>
      <c r="I14" s="6" t="s">
        <v>218</v>
      </c>
      <c r="J14" s="6" t="s">
        <v>295</v>
      </c>
      <c r="L14" s="6" t="s">
        <v>117</v>
      </c>
      <c r="M14" s="6" t="s">
        <v>257</v>
      </c>
      <c r="N14" s="36" t="s">
        <v>227</v>
      </c>
    </row>
    <row r="15" spans="1:14" x14ac:dyDescent="0.25">
      <c r="A15" s="6" t="s">
        <v>307</v>
      </c>
      <c r="B15" s="6" t="s">
        <v>119</v>
      </c>
      <c r="C15" s="6" t="s">
        <v>257</v>
      </c>
      <c r="D15" s="6" t="s">
        <v>227</v>
      </c>
      <c r="E15" s="6" t="s">
        <v>311</v>
      </c>
      <c r="G15" s="6" t="s">
        <v>30</v>
      </c>
      <c r="H15" s="6" t="s">
        <v>29</v>
      </c>
      <c r="I15" s="6" t="s">
        <v>218</v>
      </c>
      <c r="J15" s="6" t="s">
        <v>295</v>
      </c>
      <c r="L15" s="6" t="s">
        <v>119</v>
      </c>
      <c r="M15" s="6" t="s">
        <v>257</v>
      </c>
      <c r="N15" s="37" t="s">
        <v>227</v>
      </c>
    </row>
    <row r="16" spans="1:14" x14ac:dyDescent="0.25">
      <c r="A16" s="6" t="s">
        <v>239</v>
      </c>
      <c r="B16" s="6" t="s">
        <v>121</v>
      </c>
      <c r="C16" s="6" t="s">
        <v>257</v>
      </c>
      <c r="D16" s="6" t="s">
        <v>227</v>
      </c>
      <c r="E16" s="6" t="s">
        <v>311</v>
      </c>
      <c r="G16" s="6" t="s">
        <v>32</v>
      </c>
      <c r="H16" s="6" t="s">
        <v>31</v>
      </c>
      <c r="I16" s="6" t="s">
        <v>218</v>
      </c>
      <c r="J16" s="6" t="s">
        <v>295</v>
      </c>
      <c r="L16" s="6" t="s">
        <v>121</v>
      </c>
      <c r="M16" s="6" t="s">
        <v>257</v>
      </c>
      <c r="N16" s="36" t="s">
        <v>227</v>
      </c>
    </row>
    <row r="17" spans="1:14" x14ac:dyDescent="0.25">
      <c r="A17" s="6" t="s">
        <v>240</v>
      </c>
      <c r="B17" s="6" t="s">
        <v>123</v>
      </c>
      <c r="C17" s="6" t="s">
        <v>257</v>
      </c>
      <c r="D17" s="6" t="s">
        <v>227</v>
      </c>
      <c r="E17" s="6" t="s">
        <v>311</v>
      </c>
      <c r="G17" s="6" t="s">
        <v>34</v>
      </c>
      <c r="H17" s="6" t="s">
        <v>33</v>
      </c>
      <c r="I17" s="6" t="s">
        <v>218</v>
      </c>
      <c r="J17" s="6" t="s">
        <v>295</v>
      </c>
      <c r="L17" s="6" t="s">
        <v>123</v>
      </c>
      <c r="M17" s="6" t="s">
        <v>257</v>
      </c>
      <c r="N17" s="37" t="s">
        <v>227</v>
      </c>
    </row>
    <row r="18" spans="1:14" x14ac:dyDescent="0.25">
      <c r="A18" s="6" t="s">
        <v>241</v>
      </c>
      <c r="B18" s="6" t="s">
        <v>125</v>
      </c>
      <c r="C18" s="6" t="s">
        <v>257</v>
      </c>
      <c r="D18" s="6" t="s">
        <v>227</v>
      </c>
      <c r="E18" s="6" t="s">
        <v>311</v>
      </c>
      <c r="G18" s="6" t="s">
        <v>36</v>
      </c>
      <c r="H18" s="6" t="s">
        <v>35</v>
      </c>
      <c r="I18" s="6" t="s">
        <v>218</v>
      </c>
      <c r="J18" s="6" t="s">
        <v>295</v>
      </c>
      <c r="L18" s="6" t="s">
        <v>125</v>
      </c>
      <c r="M18" s="6" t="s">
        <v>257</v>
      </c>
      <c r="N18" s="36" t="s">
        <v>227</v>
      </c>
    </row>
    <row r="19" spans="1:14" x14ac:dyDescent="0.25">
      <c r="A19" s="6" t="s">
        <v>242</v>
      </c>
      <c r="B19" s="6" t="s">
        <v>127</v>
      </c>
      <c r="C19" s="6" t="s">
        <v>257</v>
      </c>
      <c r="D19" s="6" t="s">
        <v>227</v>
      </c>
      <c r="E19" s="6" t="s">
        <v>311</v>
      </c>
      <c r="G19" s="6" t="s">
        <v>267</v>
      </c>
      <c r="H19" s="6" t="s">
        <v>37</v>
      </c>
      <c r="I19" s="6" t="s">
        <v>218</v>
      </c>
      <c r="J19" s="6" t="s">
        <v>295</v>
      </c>
      <c r="L19" s="6" t="s">
        <v>127</v>
      </c>
      <c r="M19" s="6" t="s">
        <v>257</v>
      </c>
      <c r="N19" s="37" t="s">
        <v>227</v>
      </c>
    </row>
    <row r="20" spans="1:14" x14ac:dyDescent="0.25">
      <c r="A20" s="6" t="s">
        <v>243</v>
      </c>
      <c r="B20" s="6" t="s">
        <v>129</v>
      </c>
      <c r="C20" s="6" t="s">
        <v>257</v>
      </c>
      <c r="D20" s="6" t="s">
        <v>227</v>
      </c>
      <c r="E20" s="6" t="s">
        <v>311</v>
      </c>
      <c r="G20" s="6" t="s">
        <v>268</v>
      </c>
      <c r="H20" s="6" t="s">
        <v>39</v>
      </c>
      <c r="I20" s="6" t="s">
        <v>218</v>
      </c>
      <c r="J20" s="6" t="s">
        <v>295</v>
      </c>
      <c r="L20" s="6" t="s">
        <v>129</v>
      </c>
      <c r="M20" s="6" t="s">
        <v>257</v>
      </c>
      <c r="N20" s="36" t="s">
        <v>227</v>
      </c>
    </row>
    <row r="21" spans="1:14" x14ac:dyDescent="0.25">
      <c r="A21" s="6" t="s">
        <v>244</v>
      </c>
      <c r="B21" s="6" t="s">
        <v>131</v>
      </c>
      <c r="C21" s="6" t="s">
        <v>257</v>
      </c>
      <c r="D21" s="6" t="s">
        <v>227</v>
      </c>
      <c r="E21" s="6" t="s">
        <v>312</v>
      </c>
      <c r="G21" s="6" t="s">
        <v>269</v>
      </c>
      <c r="H21" s="6" t="s">
        <v>41</v>
      </c>
      <c r="I21" s="6" t="s">
        <v>218</v>
      </c>
      <c r="J21" s="6" t="s">
        <v>295</v>
      </c>
      <c r="L21" s="6" t="s">
        <v>131</v>
      </c>
      <c r="M21" s="6" t="s">
        <v>257</v>
      </c>
      <c r="N21" s="37" t="s">
        <v>227</v>
      </c>
    </row>
    <row r="22" spans="1:14" x14ac:dyDescent="0.25">
      <c r="A22" s="6" t="s">
        <v>245</v>
      </c>
      <c r="B22" s="6" t="s">
        <v>133</v>
      </c>
      <c r="C22" s="6" t="s">
        <v>257</v>
      </c>
      <c r="D22" s="6" t="s">
        <v>227</v>
      </c>
      <c r="E22" s="6" t="s">
        <v>312</v>
      </c>
      <c r="G22" s="6" t="s">
        <v>270</v>
      </c>
      <c r="H22" s="6" t="s">
        <v>43</v>
      </c>
      <c r="I22" s="6" t="s">
        <v>218</v>
      </c>
      <c r="J22" s="6" t="s">
        <v>295</v>
      </c>
      <c r="L22" s="6" t="s">
        <v>133</v>
      </c>
      <c r="M22" s="6" t="s">
        <v>257</v>
      </c>
      <c r="N22" s="36" t="s">
        <v>227</v>
      </c>
    </row>
    <row r="23" spans="1:14" x14ac:dyDescent="0.25">
      <c r="A23" s="6" t="s">
        <v>246</v>
      </c>
      <c r="B23" s="6" t="s">
        <v>135</v>
      </c>
      <c r="C23" s="6" t="s">
        <v>257</v>
      </c>
      <c r="D23" s="6" t="s">
        <v>227</v>
      </c>
      <c r="E23" s="6" t="s">
        <v>312</v>
      </c>
      <c r="G23" s="6" t="s">
        <v>271</v>
      </c>
      <c r="H23" s="6" t="s">
        <v>45</v>
      </c>
      <c r="I23" s="6" t="s">
        <v>218</v>
      </c>
      <c r="J23" s="6" t="s">
        <v>295</v>
      </c>
      <c r="L23" s="6" t="s">
        <v>135</v>
      </c>
      <c r="M23" s="6" t="s">
        <v>257</v>
      </c>
      <c r="N23" s="37" t="s">
        <v>227</v>
      </c>
    </row>
    <row r="24" spans="1:14" x14ac:dyDescent="0.25">
      <c r="A24" s="6" t="s">
        <v>247</v>
      </c>
      <c r="B24" s="6" t="s">
        <v>137</v>
      </c>
      <c r="C24" s="6" t="s">
        <v>257</v>
      </c>
      <c r="D24" s="6" t="s">
        <v>227</v>
      </c>
      <c r="E24" s="6" t="s">
        <v>313</v>
      </c>
      <c r="G24" s="6" t="s">
        <v>272</v>
      </c>
      <c r="H24" s="6" t="s">
        <v>47</v>
      </c>
      <c r="I24" s="6" t="s">
        <v>218</v>
      </c>
      <c r="J24" s="6" t="s">
        <v>295</v>
      </c>
      <c r="L24" s="6" t="s">
        <v>137</v>
      </c>
      <c r="M24" s="6" t="s">
        <v>257</v>
      </c>
      <c r="N24" s="36" t="s">
        <v>227</v>
      </c>
    </row>
    <row r="25" spans="1:14" x14ac:dyDescent="0.25">
      <c r="A25" s="6" t="s">
        <v>248</v>
      </c>
      <c r="B25" s="6" t="s">
        <v>139</v>
      </c>
      <c r="C25" s="6" t="s">
        <v>257</v>
      </c>
      <c r="D25" s="6" t="s">
        <v>227</v>
      </c>
      <c r="E25" s="6" t="s">
        <v>313</v>
      </c>
      <c r="G25" s="6" t="s">
        <v>273</v>
      </c>
      <c r="H25" s="6" t="s">
        <v>49</v>
      </c>
      <c r="I25" s="6" t="s">
        <v>218</v>
      </c>
      <c r="J25" s="6" t="s">
        <v>295</v>
      </c>
      <c r="L25" s="6" t="s">
        <v>139</v>
      </c>
      <c r="M25" s="6" t="s">
        <v>257</v>
      </c>
      <c r="N25" s="37" t="s">
        <v>227</v>
      </c>
    </row>
    <row r="26" spans="1:14" x14ac:dyDescent="0.25">
      <c r="A26" s="6" t="s">
        <v>249</v>
      </c>
      <c r="B26" s="6" t="s">
        <v>141</v>
      </c>
      <c r="C26" s="6" t="s">
        <v>257</v>
      </c>
      <c r="D26" s="6" t="s">
        <v>227</v>
      </c>
      <c r="E26" s="6" t="s">
        <v>313</v>
      </c>
      <c r="G26" s="6" t="s">
        <v>274</v>
      </c>
      <c r="H26" s="6" t="s">
        <v>51</v>
      </c>
      <c r="I26" s="6" t="s">
        <v>218</v>
      </c>
      <c r="J26" s="6" t="s">
        <v>295</v>
      </c>
      <c r="L26" s="6" t="s">
        <v>141</v>
      </c>
      <c r="M26" s="6" t="s">
        <v>257</v>
      </c>
      <c r="N26" s="36" t="s">
        <v>227</v>
      </c>
    </row>
    <row r="27" spans="1:14" x14ac:dyDescent="0.25">
      <c r="A27" s="6" t="s">
        <v>335</v>
      </c>
      <c r="B27" s="6" t="s">
        <v>143</v>
      </c>
      <c r="C27" s="6" t="s">
        <v>257</v>
      </c>
      <c r="D27" s="6" t="s">
        <v>227</v>
      </c>
      <c r="E27" s="6" t="s">
        <v>309</v>
      </c>
      <c r="G27" s="6" t="s">
        <v>275</v>
      </c>
      <c r="H27" s="6" t="s">
        <v>53</v>
      </c>
      <c r="I27" s="6" t="s">
        <v>218</v>
      </c>
      <c r="J27" s="6" t="s">
        <v>295</v>
      </c>
      <c r="L27" s="6" t="s">
        <v>143</v>
      </c>
      <c r="M27" s="6" t="s">
        <v>257</v>
      </c>
      <c r="N27" s="37" t="s">
        <v>227</v>
      </c>
    </row>
    <row r="28" spans="1:14" x14ac:dyDescent="0.25">
      <c r="A28" s="6" t="s">
        <v>250</v>
      </c>
      <c r="B28" s="6" t="s">
        <v>145</v>
      </c>
      <c r="C28" s="6" t="s">
        <v>257</v>
      </c>
      <c r="D28" s="6" t="s">
        <v>227</v>
      </c>
      <c r="E28" s="6" t="s">
        <v>309</v>
      </c>
      <c r="G28" s="6" t="s">
        <v>56</v>
      </c>
      <c r="H28" s="6" t="s">
        <v>55</v>
      </c>
      <c r="I28" s="6" t="s">
        <v>218</v>
      </c>
      <c r="J28" s="6" t="s">
        <v>295</v>
      </c>
      <c r="L28" s="6" t="s">
        <v>145</v>
      </c>
      <c r="M28" s="6" t="s">
        <v>257</v>
      </c>
      <c r="N28" s="36" t="s">
        <v>227</v>
      </c>
    </row>
    <row r="29" spans="1:14" x14ac:dyDescent="0.25">
      <c r="A29" s="6" t="s">
        <v>251</v>
      </c>
      <c r="B29" s="6" t="s">
        <v>147</v>
      </c>
      <c r="C29" s="6" t="s">
        <v>257</v>
      </c>
      <c r="D29" s="6" t="s">
        <v>227</v>
      </c>
      <c r="E29" s="6" t="s">
        <v>309</v>
      </c>
      <c r="G29" s="6" t="s">
        <v>276</v>
      </c>
      <c r="H29" s="6" t="s">
        <v>57</v>
      </c>
      <c r="I29" s="6" t="s">
        <v>218</v>
      </c>
      <c r="J29" s="6" t="s">
        <v>295</v>
      </c>
      <c r="L29" s="6" t="s">
        <v>147</v>
      </c>
      <c r="M29" s="6" t="s">
        <v>257</v>
      </c>
      <c r="N29" s="37" t="s">
        <v>227</v>
      </c>
    </row>
    <row r="30" spans="1:14" x14ac:dyDescent="0.25">
      <c r="A30" s="6" t="s">
        <v>349</v>
      </c>
      <c r="B30" s="6" t="s">
        <v>149</v>
      </c>
      <c r="C30" s="6" t="s">
        <v>257</v>
      </c>
      <c r="D30" s="6" t="s">
        <v>227</v>
      </c>
      <c r="E30" s="6" t="s">
        <v>309</v>
      </c>
      <c r="G30" s="6" t="s">
        <v>277</v>
      </c>
      <c r="H30" s="6" t="s">
        <v>59</v>
      </c>
      <c r="I30" s="6" t="s">
        <v>218</v>
      </c>
      <c r="J30" s="6" t="s">
        <v>295</v>
      </c>
      <c r="L30" s="6" t="s">
        <v>149</v>
      </c>
      <c r="M30" s="6" t="s">
        <v>257</v>
      </c>
      <c r="N30" s="36" t="s">
        <v>227</v>
      </c>
    </row>
    <row r="31" spans="1:14" x14ac:dyDescent="0.25">
      <c r="A31" s="6" t="s">
        <v>252</v>
      </c>
      <c r="B31" s="6" t="s">
        <v>151</v>
      </c>
      <c r="C31" s="6" t="s">
        <v>257</v>
      </c>
      <c r="D31" s="6" t="s">
        <v>227</v>
      </c>
      <c r="E31" s="6" t="s">
        <v>309</v>
      </c>
      <c r="G31" s="6" t="s">
        <v>278</v>
      </c>
      <c r="H31" s="6" t="s">
        <v>61</v>
      </c>
      <c r="I31" s="6" t="s">
        <v>218</v>
      </c>
      <c r="J31" s="6" t="s">
        <v>295</v>
      </c>
      <c r="L31" s="6" t="s">
        <v>151</v>
      </c>
      <c r="M31" s="6" t="s">
        <v>257</v>
      </c>
      <c r="N31" s="37" t="s">
        <v>227</v>
      </c>
    </row>
    <row r="32" spans="1:14" x14ac:dyDescent="0.25">
      <c r="A32" s="6" t="s">
        <v>315</v>
      </c>
      <c r="B32" s="6" t="s">
        <v>153</v>
      </c>
      <c r="C32" s="6" t="s">
        <v>257</v>
      </c>
      <c r="D32" s="6" t="s">
        <v>227</v>
      </c>
      <c r="E32" s="6" t="s">
        <v>309</v>
      </c>
      <c r="G32" s="6" t="s">
        <v>279</v>
      </c>
      <c r="H32" s="6" t="s">
        <v>63</v>
      </c>
      <c r="I32" s="6" t="s">
        <v>218</v>
      </c>
      <c r="J32" s="6" t="s">
        <v>295</v>
      </c>
      <c r="L32" s="6" t="s">
        <v>153</v>
      </c>
      <c r="M32" s="6" t="s">
        <v>257</v>
      </c>
      <c r="N32" s="36" t="s">
        <v>227</v>
      </c>
    </row>
    <row r="33" spans="1:14" x14ac:dyDescent="0.25">
      <c r="A33" s="6" t="s">
        <v>316</v>
      </c>
      <c r="B33" s="6" t="s">
        <v>155</v>
      </c>
      <c r="C33" s="6" t="s">
        <v>257</v>
      </c>
      <c r="D33" s="6" t="s">
        <v>227</v>
      </c>
      <c r="E33" s="6" t="s">
        <v>309</v>
      </c>
      <c r="G33" s="6" t="s">
        <v>280</v>
      </c>
      <c r="H33" s="6" t="s">
        <v>65</v>
      </c>
      <c r="I33" s="6" t="s">
        <v>218</v>
      </c>
      <c r="J33" s="6" t="s">
        <v>295</v>
      </c>
      <c r="L33" s="6" t="s">
        <v>155</v>
      </c>
      <c r="M33" s="6" t="s">
        <v>257</v>
      </c>
      <c r="N33" s="37" t="s">
        <v>227</v>
      </c>
    </row>
    <row r="34" spans="1:14" x14ac:dyDescent="0.25">
      <c r="A34" s="6" t="s">
        <v>317</v>
      </c>
      <c r="B34" s="6" t="s">
        <v>157</v>
      </c>
      <c r="C34" s="6" t="s">
        <v>257</v>
      </c>
      <c r="D34" s="6" t="s">
        <v>227</v>
      </c>
      <c r="E34" s="6" t="s">
        <v>309</v>
      </c>
      <c r="G34" s="6" t="s">
        <v>281</v>
      </c>
      <c r="H34" s="6" t="s">
        <v>67</v>
      </c>
      <c r="I34" s="6" t="s">
        <v>218</v>
      </c>
      <c r="J34" s="6" t="s">
        <v>295</v>
      </c>
      <c r="L34" s="6" t="s">
        <v>157</v>
      </c>
      <c r="M34" s="6" t="s">
        <v>257</v>
      </c>
      <c r="N34" s="36" t="s">
        <v>227</v>
      </c>
    </row>
    <row r="35" spans="1:14" x14ac:dyDescent="0.25">
      <c r="A35" s="6" t="s">
        <v>318</v>
      </c>
      <c r="B35" s="6" t="s">
        <v>159</v>
      </c>
      <c r="C35" s="6" t="s">
        <v>257</v>
      </c>
      <c r="D35" s="6" t="s">
        <v>227</v>
      </c>
      <c r="E35" s="6" t="s">
        <v>309</v>
      </c>
      <c r="G35" s="6" t="s">
        <v>282</v>
      </c>
      <c r="H35" s="6" t="s">
        <v>69</v>
      </c>
      <c r="I35" s="6" t="s">
        <v>218</v>
      </c>
      <c r="J35" s="6" t="s">
        <v>295</v>
      </c>
      <c r="L35" s="6" t="s">
        <v>159</v>
      </c>
      <c r="M35" s="6" t="s">
        <v>257</v>
      </c>
      <c r="N35" s="37" t="s">
        <v>227</v>
      </c>
    </row>
    <row r="36" spans="1:14" x14ac:dyDescent="0.25">
      <c r="A36" s="6" t="s">
        <v>319</v>
      </c>
      <c r="B36" s="6" t="s">
        <v>161</v>
      </c>
      <c r="C36" s="6" t="s">
        <v>257</v>
      </c>
      <c r="D36" s="6" t="s">
        <v>227</v>
      </c>
      <c r="E36" s="6" t="s">
        <v>309</v>
      </c>
      <c r="G36" s="6" t="s">
        <v>283</v>
      </c>
      <c r="H36" s="6" t="s">
        <v>71</v>
      </c>
      <c r="I36" s="6" t="s">
        <v>218</v>
      </c>
      <c r="J36" s="6" t="s">
        <v>295</v>
      </c>
      <c r="L36" s="6" t="s">
        <v>161</v>
      </c>
      <c r="M36" s="6" t="s">
        <v>257</v>
      </c>
      <c r="N36" s="36" t="s">
        <v>227</v>
      </c>
    </row>
    <row r="37" spans="1:14" x14ac:dyDescent="0.25">
      <c r="A37" s="6" t="s">
        <v>320</v>
      </c>
      <c r="B37" s="6" t="s">
        <v>163</v>
      </c>
      <c r="C37" s="6" t="s">
        <v>257</v>
      </c>
      <c r="D37" s="6" t="s">
        <v>227</v>
      </c>
      <c r="E37" s="6" t="s">
        <v>309</v>
      </c>
      <c r="G37" s="6" t="s">
        <v>284</v>
      </c>
      <c r="H37" s="6" t="s">
        <v>73</v>
      </c>
      <c r="I37" s="6" t="s">
        <v>218</v>
      </c>
      <c r="J37" s="6" t="s">
        <v>295</v>
      </c>
      <c r="L37" s="6" t="s">
        <v>163</v>
      </c>
      <c r="M37" s="6" t="s">
        <v>257</v>
      </c>
      <c r="N37" s="37" t="s">
        <v>227</v>
      </c>
    </row>
    <row r="38" spans="1:14" x14ac:dyDescent="0.25">
      <c r="A38" s="6" t="s">
        <v>321</v>
      </c>
      <c r="B38" s="6" t="s">
        <v>165</v>
      </c>
      <c r="C38" s="6" t="s">
        <v>257</v>
      </c>
      <c r="D38" s="6" t="s">
        <v>227</v>
      </c>
      <c r="E38" s="6" t="s">
        <v>309</v>
      </c>
      <c r="G38" s="6" t="s">
        <v>285</v>
      </c>
      <c r="H38" s="6" t="s">
        <v>75</v>
      </c>
      <c r="I38" s="6" t="s">
        <v>218</v>
      </c>
      <c r="J38" s="6" t="s">
        <v>295</v>
      </c>
      <c r="L38" s="6" t="s">
        <v>165</v>
      </c>
      <c r="M38" s="6" t="s">
        <v>257</v>
      </c>
      <c r="N38" s="36" t="s">
        <v>227</v>
      </c>
    </row>
    <row r="39" spans="1:14" x14ac:dyDescent="0.25">
      <c r="A39" s="6" t="s">
        <v>322</v>
      </c>
      <c r="B39" s="6" t="s">
        <v>167</v>
      </c>
      <c r="C39" s="6" t="s">
        <v>257</v>
      </c>
      <c r="D39" s="6" t="s">
        <v>227</v>
      </c>
      <c r="E39" s="6" t="s">
        <v>309</v>
      </c>
      <c r="G39" s="6" t="s">
        <v>286</v>
      </c>
      <c r="H39" s="6" t="s">
        <v>77</v>
      </c>
      <c r="I39" s="6" t="s">
        <v>218</v>
      </c>
      <c r="J39" s="6" t="s">
        <v>295</v>
      </c>
      <c r="L39" s="6" t="s">
        <v>167</v>
      </c>
      <c r="M39" s="6" t="s">
        <v>257</v>
      </c>
      <c r="N39" s="37" t="s">
        <v>227</v>
      </c>
    </row>
    <row r="40" spans="1:14" x14ac:dyDescent="0.25">
      <c r="A40" s="6" t="s">
        <v>323</v>
      </c>
      <c r="B40" s="6" t="s">
        <v>169</v>
      </c>
      <c r="C40" s="6" t="s">
        <v>257</v>
      </c>
      <c r="D40" s="6" t="s">
        <v>227</v>
      </c>
      <c r="E40" s="6" t="s">
        <v>309</v>
      </c>
      <c r="G40" s="6" t="s">
        <v>287</v>
      </c>
      <c r="H40" s="6" t="s">
        <v>79</v>
      </c>
      <c r="I40" s="6" t="s">
        <v>218</v>
      </c>
      <c r="J40" s="6" t="s">
        <v>295</v>
      </c>
      <c r="L40" s="6" t="s">
        <v>169</v>
      </c>
      <c r="M40" s="6" t="s">
        <v>257</v>
      </c>
      <c r="N40" s="36" t="s">
        <v>227</v>
      </c>
    </row>
    <row r="41" spans="1:14" x14ac:dyDescent="0.25">
      <c r="A41" s="6" t="s">
        <v>324</v>
      </c>
      <c r="B41" s="6" t="s">
        <v>171</v>
      </c>
      <c r="C41" s="6" t="s">
        <v>257</v>
      </c>
      <c r="D41" s="6" t="s">
        <v>227</v>
      </c>
      <c r="E41" s="6" t="s">
        <v>309</v>
      </c>
      <c r="G41" s="6" t="s">
        <v>288</v>
      </c>
      <c r="H41" s="6" t="s">
        <v>81</v>
      </c>
      <c r="I41" s="6" t="s">
        <v>218</v>
      </c>
      <c r="J41" s="6" t="s">
        <v>295</v>
      </c>
      <c r="L41" s="6" t="s">
        <v>171</v>
      </c>
      <c r="M41" s="6" t="s">
        <v>257</v>
      </c>
      <c r="N41" s="37" t="s">
        <v>227</v>
      </c>
    </row>
    <row r="42" spans="1:14" x14ac:dyDescent="0.25">
      <c r="A42" s="6" t="s">
        <v>350</v>
      </c>
      <c r="B42" s="6" t="s">
        <v>173</v>
      </c>
      <c r="C42" s="6" t="s">
        <v>257</v>
      </c>
      <c r="D42" s="6" t="s">
        <v>227</v>
      </c>
      <c r="E42" s="6" t="s">
        <v>309</v>
      </c>
      <c r="G42" s="6" t="s">
        <v>84</v>
      </c>
      <c r="H42" s="6" t="s">
        <v>83</v>
      </c>
      <c r="I42" s="6" t="s">
        <v>218</v>
      </c>
      <c r="J42" s="6" t="s">
        <v>295</v>
      </c>
      <c r="L42" s="6" t="s">
        <v>173</v>
      </c>
      <c r="M42" s="6" t="s">
        <v>257</v>
      </c>
      <c r="N42" s="36" t="s">
        <v>227</v>
      </c>
    </row>
    <row r="43" spans="1:14" x14ac:dyDescent="0.25">
      <c r="A43" s="6" t="s">
        <v>325</v>
      </c>
      <c r="B43" s="6" t="s">
        <v>175</v>
      </c>
      <c r="C43" s="6" t="s">
        <v>257</v>
      </c>
      <c r="D43" s="6" t="s">
        <v>227</v>
      </c>
      <c r="E43" s="6" t="s">
        <v>311</v>
      </c>
      <c r="G43" s="6" t="s">
        <v>86</v>
      </c>
      <c r="H43" s="6" t="s">
        <v>85</v>
      </c>
      <c r="I43" s="6" t="s">
        <v>218</v>
      </c>
      <c r="J43" s="6" t="s">
        <v>295</v>
      </c>
      <c r="L43" s="6" t="s">
        <v>175</v>
      </c>
      <c r="M43" s="6" t="s">
        <v>257</v>
      </c>
      <c r="N43" s="37" t="s">
        <v>227</v>
      </c>
    </row>
    <row r="44" spans="1:14" x14ac:dyDescent="0.25">
      <c r="A44" s="6" t="s">
        <v>326</v>
      </c>
      <c r="B44" s="6" t="s">
        <v>177</v>
      </c>
      <c r="C44" s="6" t="s">
        <v>257</v>
      </c>
      <c r="D44" s="6" t="s">
        <v>227</v>
      </c>
      <c r="E44" s="6" t="s">
        <v>311</v>
      </c>
      <c r="G44" s="6" t="s">
        <v>88</v>
      </c>
      <c r="H44" s="6" t="s">
        <v>87</v>
      </c>
      <c r="I44" s="6" t="s">
        <v>218</v>
      </c>
      <c r="J44" s="6" t="s">
        <v>295</v>
      </c>
      <c r="L44" s="6" t="s">
        <v>177</v>
      </c>
      <c r="M44" s="6" t="s">
        <v>257</v>
      </c>
      <c r="N44" s="36" t="s">
        <v>227</v>
      </c>
    </row>
    <row r="45" spans="1:14" x14ac:dyDescent="0.25">
      <c r="A45" s="6" t="s">
        <v>327</v>
      </c>
      <c r="B45" s="6" t="s">
        <v>179</v>
      </c>
      <c r="C45" s="6" t="s">
        <v>257</v>
      </c>
      <c r="D45" s="6" t="s">
        <v>227</v>
      </c>
      <c r="E45" s="6" t="s">
        <v>311</v>
      </c>
      <c r="G45" s="6" t="s">
        <v>90</v>
      </c>
      <c r="H45" s="6" t="s">
        <v>89</v>
      </c>
      <c r="I45" s="6" t="s">
        <v>218</v>
      </c>
      <c r="J45" s="6" t="s">
        <v>295</v>
      </c>
      <c r="L45" s="6" t="s">
        <v>179</v>
      </c>
      <c r="M45" s="6" t="s">
        <v>257</v>
      </c>
      <c r="N45" s="37" t="s">
        <v>227</v>
      </c>
    </row>
    <row r="46" spans="1:14" x14ac:dyDescent="0.25">
      <c r="A46" s="6" t="s">
        <v>328</v>
      </c>
      <c r="B46" s="6" t="s">
        <v>181</v>
      </c>
      <c r="C46" s="6" t="s">
        <v>257</v>
      </c>
      <c r="D46" s="6" t="s">
        <v>227</v>
      </c>
      <c r="E46" s="6" t="s">
        <v>311</v>
      </c>
      <c r="G46" s="6" t="s">
        <v>289</v>
      </c>
      <c r="H46" s="6" t="s">
        <v>91</v>
      </c>
      <c r="I46" s="6" t="s">
        <v>218</v>
      </c>
      <c r="J46" s="6" t="s">
        <v>295</v>
      </c>
      <c r="L46" s="6" t="s">
        <v>181</v>
      </c>
      <c r="M46" s="6" t="s">
        <v>257</v>
      </c>
      <c r="N46" s="36" t="s">
        <v>227</v>
      </c>
    </row>
    <row r="47" spans="1:14" x14ac:dyDescent="0.25">
      <c r="A47" s="6" t="s">
        <v>329</v>
      </c>
      <c r="B47" s="6" t="s">
        <v>183</v>
      </c>
      <c r="C47" s="6" t="s">
        <v>257</v>
      </c>
      <c r="D47" s="6" t="s">
        <v>227</v>
      </c>
      <c r="E47" s="6" t="s">
        <v>311</v>
      </c>
      <c r="L47" s="6" t="s">
        <v>183</v>
      </c>
      <c r="M47" s="6" t="s">
        <v>257</v>
      </c>
      <c r="N47" s="37" t="s">
        <v>227</v>
      </c>
    </row>
    <row r="48" spans="1:14" x14ac:dyDescent="0.25">
      <c r="A48" s="6" t="s">
        <v>330</v>
      </c>
      <c r="B48" s="6" t="s">
        <v>185</v>
      </c>
      <c r="C48" s="6" t="s">
        <v>257</v>
      </c>
      <c r="D48" s="6" t="s">
        <v>227</v>
      </c>
      <c r="E48" s="6" t="s">
        <v>311</v>
      </c>
      <c r="L48" s="6" t="s">
        <v>185</v>
      </c>
      <c r="M48" s="6" t="s">
        <v>257</v>
      </c>
      <c r="N48" s="36" t="s">
        <v>227</v>
      </c>
    </row>
    <row r="49" spans="1:14" x14ac:dyDescent="0.25">
      <c r="A49" s="6" t="s">
        <v>331</v>
      </c>
      <c r="B49" s="6" t="s">
        <v>187</v>
      </c>
      <c r="C49" s="6" t="s">
        <v>257</v>
      </c>
      <c r="D49" s="6" t="s">
        <v>227</v>
      </c>
      <c r="E49" s="6" t="s">
        <v>311</v>
      </c>
      <c r="L49" s="6" t="s">
        <v>187</v>
      </c>
      <c r="M49" s="6" t="s">
        <v>257</v>
      </c>
      <c r="N49" s="37" t="s">
        <v>227</v>
      </c>
    </row>
    <row r="50" spans="1:14" x14ac:dyDescent="0.25">
      <c r="A50" s="6" t="s">
        <v>253</v>
      </c>
      <c r="B50" s="6" t="s">
        <v>189</v>
      </c>
      <c r="C50" s="6" t="s">
        <v>257</v>
      </c>
      <c r="D50" s="6" t="s">
        <v>227</v>
      </c>
      <c r="E50" s="6" t="s">
        <v>309</v>
      </c>
      <c r="L50" s="6" t="s">
        <v>189</v>
      </c>
      <c r="M50" s="6" t="s">
        <v>257</v>
      </c>
      <c r="N50" s="36" t="s">
        <v>227</v>
      </c>
    </row>
    <row r="51" spans="1:14" x14ac:dyDescent="0.25">
      <c r="A51" s="6" t="s">
        <v>336</v>
      </c>
      <c r="B51" s="6" t="s">
        <v>191</v>
      </c>
      <c r="C51" s="6" t="s">
        <v>257</v>
      </c>
      <c r="D51" s="6" t="s">
        <v>227</v>
      </c>
      <c r="E51" s="6" t="s">
        <v>309</v>
      </c>
      <c r="L51" s="6" t="s">
        <v>191</v>
      </c>
      <c r="M51" s="6" t="s">
        <v>257</v>
      </c>
      <c r="N51" s="37" t="s">
        <v>227</v>
      </c>
    </row>
    <row r="52" spans="1:14" x14ac:dyDescent="0.25">
      <c r="A52" s="6" t="s">
        <v>337</v>
      </c>
      <c r="B52" s="6" t="s">
        <v>193</v>
      </c>
      <c r="C52" s="6" t="s">
        <v>257</v>
      </c>
      <c r="D52" s="6" t="s">
        <v>227</v>
      </c>
      <c r="E52" s="6" t="s">
        <v>309</v>
      </c>
      <c r="L52" s="6" t="s">
        <v>193</v>
      </c>
      <c r="M52" s="6" t="s">
        <v>257</v>
      </c>
      <c r="N52" s="36" t="s">
        <v>227</v>
      </c>
    </row>
    <row r="53" spans="1:14" x14ac:dyDescent="0.25">
      <c r="A53" s="6" t="s">
        <v>338</v>
      </c>
      <c r="B53" s="6" t="s">
        <v>195</v>
      </c>
      <c r="C53" s="6" t="s">
        <v>257</v>
      </c>
      <c r="D53" s="6" t="s">
        <v>227</v>
      </c>
      <c r="E53" s="6" t="s">
        <v>309</v>
      </c>
      <c r="L53" s="6" t="s">
        <v>195</v>
      </c>
      <c r="M53" s="6" t="s">
        <v>257</v>
      </c>
      <c r="N53" s="37" t="s">
        <v>227</v>
      </c>
    </row>
    <row r="54" spans="1:14" x14ac:dyDescent="0.25">
      <c r="A54" s="6" t="s">
        <v>339</v>
      </c>
      <c r="B54" s="6" t="s">
        <v>197</v>
      </c>
      <c r="C54" s="6" t="s">
        <v>257</v>
      </c>
      <c r="D54" s="6" t="s">
        <v>227</v>
      </c>
      <c r="E54" s="6" t="s">
        <v>309</v>
      </c>
      <c r="L54" s="6" t="s">
        <v>197</v>
      </c>
      <c r="M54" s="6" t="s">
        <v>257</v>
      </c>
      <c r="N54" s="36" t="s">
        <v>227</v>
      </c>
    </row>
    <row r="55" spans="1:14" x14ac:dyDescent="0.25">
      <c r="A55" s="6" t="s">
        <v>340</v>
      </c>
      <c r="B55" s="6" t="s">
        <v>199</v>
      </c>
      <c r="C55" s="6" t="s">
        <v>257</v>
      </c>
      <c r="D55" s="6" t="s">
        <v>227</v>
      </c>
      <c r="E55" s="6" t="s">
        <v>309</v>
      </c>
      <c r="L55" s="6" t="s">
        <v>199</v>
      </c>
      <c r="M55" s="6" t="s">
        <v>257</v>
      </c>
      <c r="N55" s="37" t="s">
        <v>227</v>
      </c>
    </row>
    <row r="56" spans="1:14" x14ac:dyDescent="0.25">
      <c r="A56" s="6" t="s">
        <v>341</v>
      </c>
      <c r="B56" s="6" t="s">
        <v>201</v>
      </c>
      <c r="C56" s="6" t="s">
        <v>257</v>
      </c>
      <c r="D56" s="6" t="s">
        <v>227</v>
      </c>
      <c r="E56" s="6" t="s">
        <v>309</v>
      </c>
      <c r="L56" s="6" t="s">
        <v>201</v>
      </c>
      <c r="M56" s="6" t="s">
        <v>257</v>
      </c>
      <c r="N56" s="36" t="s">
        <v>227</v>
      </c>
    </row>
    <row r="57" spans="1:14" x14ac:dyDescent="0.25">
      <c r="A57" s="6" t="s">
        <v>342</v>
      </c>
      <c r="B57" s="6" t="s">
        <v>203</v>
      </c>
      <c r="C57" s="6" t="s">
        <v>257</v>
      </c>
      <c r="D57" s="6" t="s">
        <v>227</v>
      </c>
      <c r="E57" s="6" t="s">
        <v>309</v>
      </c>
      <c r="L57" s="6" t="s">
        <v>203</v>
      </c>
      <c r="M57" s="6" t="s">
        <v>257</v>
      </c>
      <c r="N57" s="37" t="s">
        <v>227</v>
      </c>
    </row>
    <row r="58" spans="1:14" x14ac:dyDescent="0.25">
      <c r="A58" s="6" t="s">
        <v>343</v>
      </c>
      <c r="B58" s="6" t="s">
        <v>205</v>
      </c>
      <c r="C58" s="6" t="s">
        <v>257</v>
      </c>
      <c r="D58" s="6" t="s">
        <v>227</v>
      </c>
      <c r="E58" s="6" t="s">
        <v>309</v>
      </c>
      <c r="L58" s="6" t="s">
        <v>205</v>
      </c>
      <c r="M58" s="6" t="s">
        <v>257</v>
      </c>
      <c r="N58" s="36" t="s">
        <v>227</v>
      </c>
    </row>
    <row r="59" spans="1:14" x14ac:dyDescent="0.25">
      <c r="A59" s="6" t="s">
        <v>351</v>
      </c>
      <c r="B59" s="6" t="s">
        <v>207</v>
      </c>
      <c r="C59" s="6" t="s">
        <v>257</v>
      </c>
      <c r="D59" s="6" t="s">
        <v>227</v>
      </c>
      <c r="E59" s="6" t="s">
        <v>309</v>
      </c>
      <c r="L59" s="6" t="s">
        <v>207</v>
      </c>
      <c r="M59" s="6" t="s">
        <v>257</v>
      </c>
      <c r="N59" s="37" t="s">
        <v>227</v>
      </c>
    </row>
    <row r="60" spans="1:14" x14ac:dyDescent="0.25">
      <c r="A60" s="6" t="s">
        <v>344</v>
      </c>
      <c r="B60" s="6" t="s">
        <v>209</v>
      </c>
      <c r="C60" s="6" t="s">
        <v>257</v>
      </c>
      <c r="D60" s="6" t="s">
        <v>227</v>
      </c>
      <c r="E60" s="6" t="s">
        <v>309</v>
      </c>
      <c r="L60" s="6" t="s">
        <v>209</v>
      </c>
      <c r="M60" s="6" t="s">
        <v>257</v>
      </c>
      <c r="N60" s="36" t="s">
        <v>227</v>
      </c>
    </row>
    <row r="61" spans="1:14" x14ac:dyDescent="0.25">
      <c r="A61" s="6" t="s">
        <v>345</v>
      </c>
      <c r="B61" s="6" t="s">
        <v>211</v>
      </c>
      <c r="C61" s="6" t="s">
        <v>257</v>
      </c>
      <c r="D61" s="6" t="s">
        <v>227</v>
      </c>
      <c r="E61" s="6" t="s">
        <v>309</v>
      </c>
      <c r="L61" s="6" t="s">
        <v>211</v>
      </c>
      <c r="M61" s="6" t="s">
        <v>257</v>
      </c>
      <c r="N61" s="37" t="s">
        <v>227</v>
      </c>
    </row>
    <row r="62" spans="1:14" x14ac:dyDescent="0.25">
      <c r="A62" s="6" t="s">
        <v>332</v>
      </c>
      <c r="B62" s="6" t="s">
        <v>213</v>
      </c>
      <c r="C62" s="6" t="s">
        <v>257</v>
      </c>
      <c r="D62" s="6" t="s">
        <v>227</v>
      </c>
      <c r="E62" s="6" t="s">
        <v>309</v>
      </c>
      <c r="L62" s="6" t="s">
        <v>213</v>
      </c>
      <c r="M62" s="6" t="s">
        <v>257</v>
      </c>
      <c r="N62" s="36" t="s">
        <v>227</v>
      </c>
    </row>
    <row r="63" spans="1:14" x14ac:dyDescent="0.25">
      <c r="A63" s="6" t="s">
        <v>346</v>
      </c>
      <c r="B63" s="6" t="s">
        <v>215</v>
      </c>
      <c r="C63" s="6" t="s">
        <v>257</v>
      </c>
      <c r="D63" s="6" t="s">
        <v>227</v>
      </c>
      <c r="E63" s="6" t="s">
        <v>309</v>
      </c>
      <c r="L63" s="6" t="s">
        <v>215</v>
      </c>
      <c r="M63" s="6" t="s">
        <v>257</v>
      </c>
      <c r="N63" s="37" t="s">
        <v>227</v>
      </c>
    </row>
    <row r="64" spans="1:14" x14ac:dyDescent="0.25">
      <c r="A64" s="6" t="s">
        <v>300</v>
      </c>
      <c r="B64" s="6" t="s">
        <v>299</v>
      </c>
      <c r="C64" s="6" t="s">
        <v>257</v>
      </c>
      <c r="D64" s="6" t="s">
        <v>227</v>
      </c>
      <c r="E64" s="6" t="s">
        <v>311</v>
      </c>
      <c r="L64" s="6" t="s">
        <v>3</v>
      </c>
      <c r="M64" s="6" t="s">
        <v>218</v>
      </c>
      <c r="N64" s="36" t="s">
        <v>295</v>
      </c>
    </row>
    <row r="65" spans="1:14" x14ac:dyDescent="0.25">
      <c r="A65" s="6" t="s">
        <v>333</v>
      </c>
      <c r="B65" s="6" t="s">
        <v>185</v>
      </c>
      <c r="C65" s="6" t="s">
        <v>257</v>
      </c>
      <c r="D65" s="6" t="s">
        <v>227</v>
      </c>
      <c r="E65" s="6" t="s">
        <v>311</v>
      </c>
      <c r="L65" s="6" t="s">
        <v>5</v>
      </c>
      <c r="M65" s="6" t="s">
        <v>218</v>
      </c>
      <c r="N65" s="37" t="s">
        <v>295</v>
      </c>
    </row>
    <row r="66" spans="1:14" x14ac:dyDescent="0.25">
      <c r="A66" s="6" t="s">
        <v>347</v>
      </c>
      <c r="B66" s="6" t="s">
        <v>301</v>
      </c>
      <c r="C66" s="6" t="s">
        <v>257</v>
      </c>
      <c r="D66" s="6" t="s">
        <v>227</v>
      </c>
      <c r="E66" s="6" t="s">
        <v>311</v>
      </c>
      <c r="L66" s="6" t="s">
        <v>7</v>
      </c>
      <c r="M66" s="6" t="s">
        <v>218</v>
      </c>
      <c r="N66" s="36" t="s">
        <v>295</v>
      </c>
    </row>
    <row r="67" spans="1:14" x14ac:dyDescent="0.25">
      <c r="A67" s="6" t="s">
        <v>303</v>
      </c>
      <c r="B67" s="6" t="s">
        <v>302</v>
      </c>
      <c r="C67" s="6" t="s">
        <v>257</v>
      </c>
      <c r="D67" s="6" t="s">
        <v>227</v>
      </c>
      <c r="E67" s="6" t="s">
        <v>309</v>
      </c>
      <c r="L67" s="6" t="s">
        <v>9</v>
      </c>
      <c r="M67" s="6" t="s">
        <v>218</v>
      </c>
      <c r="N67" s="37" t="s">
        <v>295</v>
      </c>
    </row>
    <row r="68" spans="1:14" x14ac:dyDescent="0.25">
      <c r="A68" s="6" t="s">
        <v>322</v>
      </c>
      <c r="B68" s="6" t="s">
        <v>167</v>
      </c>
      <c r="C68" s="6" t="s">
        <v>257</v>
      </c>
      <c r="D68" s="6" t="s">
        <v>227</v>
      </c>
      <c r="E68" s="6" t="s">
        <v>309</v>
      </c>
      <c r="L68" s="6" t="s">
        <v>11</v>
      </c>
      <c r="M68" s="6" t="s">
        <v>218</v>
      </c>
      <c r="N68" s="36" t="s">
        <v>295</v>
      </c>
    </row>
    <row r="69" spans="1:14" x14ac:dyDescent="0.25">
      <c r="A69" s="6" t="s">
        <v>348</v>
      </c>
      <c r="B69" s="6" t="s">
        <v>201</v>
      </c>
      <c r="C69" s="6" t="s">
        <v>257</v>
      </c>
      <c r="D69" s="6" t="s">
        <v>227</v>
      </c>
      <c r="E69" s="6" t="s">
        <v>309</v>
      </c>
      <c r="L69" s="6" t="s">
        <v>13</v>
      </c>
      <c r="M69" s="6" t="s">
        <v>218</v>
      </c>
      <c r="N69" s="37" t="s">
        <v>295</v>
      </c>
    </row>
    <row r="70" spans="1:14" x14ac:dyDescent="0.25">
      <c r="A70" s="6" t="s">
        <v>334</v>
      </c>
      <c r="B70" s="6" t="s">
        <v>304</v>
      </c>
      <c r="C70" s="6" t="s">
        <v>257</v>
      </c>
      <c r="D70" s="6" t="s">
        <v>227</v>
      </c>
      <c r="E70" s="6" t="s">
        <v>309</v>
      </c>
      <c r="L70" s="6" t="s">
        <v>15</v>
      </c>
      <c r="M70" s="6" t="s">
        <v>218</v>
      </c>
      <c r="N70" s="36" t="s">
        <v>295</v>
      </c>
    </row>
    <row r="71" spans="1:14" x14ac:dyDescent="0.25">
      <c r="A71" s="6" t="s">
        <v>355</v>
      </c>
      <c r="B71" s="6" t="s">
        <v>352</v>
      </c>
      <c r="C71" s="6" t="s">
        <v>257</v>
      </c>
      <c r="D71" s="6" t="s">
        <v>227</v>
      </c>
      <c r="E71" s="6" t="s">
        <v>312</v>
      </c>
      <c r="L71" s="37" t="s">
        <v>17</v>
      </c>
      <c r="M71" s="6" t="s">
        <v>218</v>
      </c>
      <c r="N71" s="6" t="s">
        <v>295</v>
      </c>
    </row>
    <row r="72" spans="1:14" x14ac:dyDescent="0.25">
      <c r="A72" s="6" t="s">
        <v>356</v>
      </c>
      <c r="B72" s="6" t="s">
        <v>353</v>
      </c>
      <c r="C72" s="6" t="s">
        <v>257</v>
      </c>
      <c r="D72" s="6" t="s">
        <v>227</v>
      </c>
      <c r="E72" s="6" t="s">
        <v>312</v>
      </c>
      <c r="L72" s="36" t="s">
        <v>19</v>
      </c>
      <c r="M72" s="6" t="s">
        <v>218</v>
      </c>
      <c r="N72" s="6" t="s">
        <v>295</v>
      </c>
    </row>
    <row r="73" spans="1:14" x14ac:dyDescent="0.25">
      <c r="A73" s="6" t="s">
        <v>357</v>
      </c>
      <c r="B73" s="6" t="s">
        <v>354</v>
      </c>
      <c r="C73" s="6" t="s">
        <v>257</v>
      </c>
      <c r="D73" s="6" t="s">
        <v>227</v>
      </c>
      <c r="E73" s="6" t="s">
        <v>312</v>
      </c>
      <c r="L73" s="37" t="s">
        <v>21</v>
      </c>
      <c r="M73" s="6" t="s">
        <v>218</v>
      </c>
      <c r="N73" s="6" t="s">
        <v>295</v>
      </c>
    </row>
    <row r="74" spans="1:14" x14ac:dyDescent="0.25">
      <c r="L74" s="36" t="s">
        <v>23</v>
      </c>
      <c r="M74" s="6" t="s">
        <v>218</v>
      </c>
      <c r="N74" s="6" t="s">
        <v>295</v>
      </c>
    </row>
    <row r="75" spans="1:14" x14ac:dyDescent="0.25">
      <c r="L75" s="37" t="s">
        <v>25</v>
      </c>
      <c r="M75" s="6" t="s">
        <v>218</v>
      </c>
      <c r="N75" s="6" t="s">
        <v>295</v>
      </c>
    </row>
    <row r="76" spans="1:14" x14ac:dyDescent="0.25">
      <c r="L76" s="36" t="s">
        <v>27</v>
      </c>
      <c r="M76" s="6" t="s">
        <v>218</v>
      </c>
      <c r="N76" s="6" t="s">
        <v>295</v>
      </c>
    </row>
    <row r="77" spans="1:14" x14ac:dyDescent="0.25">
      <c r="L77" s="37" t="s">
        <v>29</v>
      </c>
      <c r="M77" s="6" t="s">
        <v>218</v>
      </c>
      <c r="N77" s="6" t="s">
        <v>295</v>
      </c>
    </row>
    <row r="78" spans="1:14" x14ac:dyDescent="0.25">
      <c r="L78" s="36" t="s">
        <v>31</v>
      </c>
      <c r="M78" s="6" t="s">
        <v>218</v>
      </c>
      <c r="N78" s="6" t="s">
        <v>295</v>
      </c>
    </row>
    <row r="79" spans="1:14" x14ac:dyDescent="0.25">
      <c r="L79" s="37" t="s">
        <v>33</v>
      </c>
      <c r="M79" s="6" t="s">
        <v>218</v>
      </c>
      <c r="N79" s="6" t="s">
        <v>295</v>
      </c>
    </row>
    <row r="80" spans="1:14" x14ac:dyDescent="0.25">
      <c r="L80" s="36" t="s">
        <v>35</v>
      </c>
      <c r="M80" s="6" t="s">
        <v>218</v>
      </c>
      <c r="N80" s="6" t="s">
        <v>295</v>
      </c>
    </row>
    <row r="81" spans="12:14" x14ac:dyDescent="0.25">
      <c r="L81" s="37" t="s">
        <v>37</v>
      </c>
      <c r="M81" s="6" t="s">
        <v>218</v>
      </c>
      <c r="N81" s="6" t="s">
        <v>295</v>
      </c>
    </row>
    <row r="82" spans="12:14" x14ac:dyDescent="0.25">
      <c r="L82" s="36" t="s">
        <v>39</v>
      </c>
      <c r="M82" s="6" t="s">
        <v>218</v>
      </c>
      <c r="N82" s="6" t="s">
        <v>295</v>
      </c>
    </row>
    <row r="83" spans="12:14" x14ac:dyDescent="0.25">
      <c r="L83" s="37" t="s">
        <v>41</v>
      </c>
      <c r="M83" s="6" t="s">
        <v>218</v>
      </c>
      <c r="N83" s="6" t="s">
        <v>295</v>
      </c>
    </row>
    <row r="84" spans="12:14" x14ac:dyDescent="0.25">
      <c r="L84" s="36" t="s">
        <v>43</v>
      </c>
      <c r="M84" s="6" t="s">
        <v>218</v>
      </c>
      <c r="N84" s="6" t="s">
        <v>295</v>
      </c>
    </row>
    <row r="85" spans="12:14" x14ac:dyDescent="0.25">
      <c r="L85" s="37" t="s">
        <v>45</v>
      </c>
      <c r="M85" s="6" t="s">
        <v>218</v>
      </c>
      <c r="N85" s="6" t="s">
        <v>295</v>
      </c>
    </row>
    <row r="86" spans="12:14" x14ac:dyDescent="0.25">
      <c r="L86" s="36" t="s">
        <v>47</v>
      </c>
      <c r="M86" s="6" t="s">
        <v>218</v>
      </c>
      <c r="N86" s="6" t="s">
        <v>295</v>
      </c>
    </row>
    <row r="87" spans="12:14" x14ac:dyDescent="0.25">
      <c r="L87" s="37" t="s">
        <v>49</v>
      </c>
      <c r="M87" s="6" t="s">
        <v>218</v>
      </c>
      <c r="N87" s="6" t="s">
        <v>295</v>
      </c>
    </row>
    <row r="88" spans="12:14" x14ac:dyDescent="0.25">
      <c r="L88" s="36" t="s">
        <v>51</v>
      </c>
      <c r="M88" s="6" t="s">
        <v>218</v>
      </c>
      <c r="N88" s="6" t="s">
        <v>295</v>
      </c>
    </row>
    <row r="89" spans="12:14" x14ac:dyDescent="0.25">
      <c r="L89" s="37" t="s">
        <v>53</v>
      </c>
      <c r="M89" s="6" t="s">
        <v>218</v>
      </c>
      <c r="N89" s="6" t="s">
        <v>295</v>
      </c>
    </row>
    <row r="90" spans="12:14" x14ac:dyDescent="0.25">
      <c r="L90" s="36" t="s">
        <v>55</v>
      </c>
      <c r="M90" s="6" t="s">
        <v>218</v>
      </c>
      <c r="N90" s="6" t="s">
        <v>295</v>
      </c>
    </row>
    <row r="91" spans="12:14" x14ac:dyDescent="0.25">
      <c r="L91" s="37" t="s">
        <v>57</v>
      </c>
      <c r="M91" s="6" t="s">
        <v>218</v>
      </c>
      <c r="N91" s="6" t="s">
        <v>295</v>
      </c>
    </row>
    <row r="92" spans="12:14" x14ac:dyDescent="0.25">
      <c r="L92" s="36" t="s">
        <v>59</v>
      </c>
      <c r="M92" s="6" t="s">
        <v>218</v>
      </c>
      <c r="N92" s="6" t="s">
        <v>295</v>
      </c>
    </row>
    <row r="93" spans="12:14" x14ac:dyDescent="0.25">
      <c r="L93" s="37" t="s">
        <v>61</v>
      </c>
      <c r="M93" s="6" t="s">
        <v>218</v>
      </c>
      <c r="N93" s="6" t="s">
        <v>295</v>
      </c>
    </row>
    <row r="94" spans="12:14" x14ac:dyDescent="0.25">
      <c r="L94" s="36" t="s">
        <v>63</v>
      </c>
      <c r="M94" s="6" t="s">
        <v>218</v>
      </c>
      <c r="N94" s="6" t="s">
        <v>295</v>
      </c>
    </row>
    <row r="95" spans="12:14" x14ac:dyDescent="0.25">
      <c r="L95" s="37" t="s">
        <v>65</v>
      </c>
      <c r="M95" s="6" t="s">
        <v>218</v>
      </c>
      <c r="N95" s="6" t="s">
        <v>295</v>
      </c>
    </row>
    <row r="96" spans="12:14" x14ac:dyDescent="0.25">
      <c r="L96" s="36" t="s">
        <v>67</v>
      </c>
      <c r="M96" s="6" t="s">
        <v>218</v>
      </c>
      <c r="N96" s="6" t="s">
        <v>295</v>
      </c>
    </row>
    <row r="97" spans="12:14" x14ac:dyDescent="0.25">
      <c r="L97" s="37" t="s">
        <v>69</v>
      </c>
      <c r="M97" s="6" t="s">
        <v>218</v>
      </c>
      <c r="N97" s="6" t="s">
        <v>295</v>
      </c>
    </row>
    <row r="98" spans="12:14" x14ac:dyDescent="0.25">
      <c r="L98" s="36" t="s">
        <v>71</v>
      </c>
      <c r="M98" s="6" t="s">
        <v>218</v>
      </c>
      <c r="N98" s="6" t="s">
        <v>295</v>
      </c>
    </row>
    <row r="99" spans="12:14" x14ac:dyDescent="0.25">
      <c r="L99" s="37" t="s">
        <v>73</v>
      </c>
      <c r="M99" s="6" t="s">
        <v>218</v>
      </c>
      <c r="N99" s="6" t="s">
        <v>295</v>
      </c>
    </row>
    <row r="100" spans="12:14" x14ac:dyDescent="0.25">
      <c r="L100" s="36" t="s">
        <v>75</v>
      </c>
      <c r="M100" s="6" t="s">
        <v>218</v>
      </c>
      <c r="N100" s="6" t="s">
        <v>295</v>
      </c>
    </row>
    <row r="101" spans="12:14" x14ac:dyDescent="0.25">
      <c r="L101" s="37" t="s">
        <v>77</v>
      </c>
      <c r="M101" s="6" t="s">
        <v>218</v>
      </c>
      <c r="N101" s="6" t="s">
        <v>295</v>
      </c>
    </row>
    <row r="102" spans="12:14" x14ac:dyDescent="0.25">
      <c r="L102" s="36" t="s">
        <v>79</v>
      </c>
      <c r="M102" s="6" t="s">
        <v>218</v>
      </c>
      <c r="N102" s="6" t="s">
        <v>295</v>
      </c>
    </row>
    <row r="103" spans="12:14" x14ac:dyDescent="0.25">
      <c r="L103" s="37" t="s">
        <v>81</v>
      </c>
      <c r="M103" s="6" t="s">
        <v>218</v>
      </c>
      <c r="N103" s="6" t="s">
        <v>295</v>
      </c>
    </row>
    <row r="104" spans="12:14" x14ac:dyDescent="0.25">
      <c r="L104" s="36" t="s">
        <v>83</v>
      </c>
      <c r="M104" s="6" t="s">
        <v>218</v>
      </c>
      <c r="N104" s="6" t="s">
        <v>295</v>
      </c>
    </row>
    <row r="105" spans="12:14" x14ac:dyDescent="0.25">
      <c r="L105" s="37" t="s">
        <v>85</v>
      </c>
      <c r="M105" s="6" t="s">
        <v>218</v>
      </c>
      <c r="N105" s="6" t="s">
        <v>295</v>
      </c>
    </row>
    <row r="106" spans="12:14" x14ac:dyDescent="0.25">
      <c r="L106" s="36" t="s">
        <v>87</v>
      </c>
      <c r="M106" s="6" t="s">
        <v>218</v>
      </c>
      <c r="N106" s="6" t="s">
        <v>295</v>
      </c>
    </row>
    <row r="107" spans="12:14" x14ac:dyDescent="0.25">
      <c r="L107" s="37" t="s">
        <v>89</v>
      </c>
      <c r="M107" s="6" t="s">
        <v>218</v>
      </c>
      <c r="N107" s="6" t="s">
        <v>295</v>
      </c>
    </row>
    <row r="108" spans="12:14" x14ac:dyDescent="0.25">
      <c r="L108" s="38" t="s">
        <v>91</v>
      </c>
      <c r="M108" s="6" t="s">
        <v>218</v>
      </c>
      <c r="N108" s="6" t="s">
        <v>295</v>
      </c>
    </row>
    <row r="109" spans="12:14" x14ac:dyDescent="0.25">
      <c r="L109" s="36" t="s">
        <v>352</v>
      </c>
      <c r="M109" s="6" t="s">
        <v>257</v>
      </c>
      <c r="N109" s="6" t="s">
        <v>227</v>
      </c>
    </row>
    <row r="110" spans="12:14" x14ac:dyDescent="0.25">
      <c r="L110" s="39" t="s">
        <v>353</v>
      </c>
      <c r="M110" s="6" t="s">
        <v>257</v>
      </c>
      <c r="N110" s="6" t="s">
        <v>227</v>
      </c>
    </row>
    <row r="111" spans="12:14" x14ac:dyDescent="0.25">
      <c r="L111" s="39" t="s">
        <v>354</v>
      </c>
      <c r="M111" s="6" t="s">
        <v>257</v>
      </c>
      <c r="N111" s="6" t="s">
        <v>227</v>
      </c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ReporteInventario</vt:lpstr>
      <vt:lpstr>REGISTRO</vt:lpstr>
      <vt:lpstr>REPORTE DE PRODUCCION</vt:lpstr>
      <vt:lpstr>BASE DATOS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Auxiliar Almacen</cp:lastModifiedBy>
  <dcterms:created xsi:type="dcterms:W3CDTF">2026-02-18T22:55:19Z</dcterms:created>
  <dcterms:modified xsi:type="dcterms:W3CDTF">2026-04-16T20:30:02Z</dcterms:modified>
</cp:coreProperties>
</file>